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ArunRajaRajan\Desktop\VITTA\Item Master\Sales Item Master\White Lable Price\"/>
    </mc:Choice>
  </mc:AlternateContent>
  <xr:revisionPtr revIDLastSave="0" documentId="13_ncr:1_{52354834-3D75-4403-AA29-34FF1D3EFC3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Sheet1!$A$1:$O$208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208" i="1" l="1"/>
  <c r="I208" i="1"/>
  <c r="J208" i="1" s="1"/>
  <c r="M207" i="1"/>
  <c r="I207" i="1"/>
  <c r="J207" i="1" s="1"/>
  <c r="M206" i="1"/>
  <c r="I206" i="1"/>
  <c r="J206" i="1" s="1"/>
  <c r="M205" i="1"/>
  <c r="I205" i="1"/>
  <c r="J205" i="1" s="1"/>
  <c r="M204" i="1"/>
  <c r="I204" i="1"/>
  <c r="J204" i="1" s="1"/>
  <c r="M203" i="1"/>
  <c r="I203" i="1"/>
  <c r="J203" i="1" s="1"/>
  <c r="M202" i="1"/>
  <c r="I202" i="1"/>
  <c r="J202" i="1" s="1"/>
  <c r="M201" i="1"/>
  <c r="I201" i="1"/>
  <c r="J201" i="1" s="1"/>
  <c r="C201" i="1"/>
  <c r="M200" i="1"/>
  <c r="I200" i="1"/>
  <c r="J200" i="1" s="1"/>
  <c r="C200" i="1"/>
  <c r="M199" i="1"/>
  <c r="I199" i="1"/>
  <c r="J199" i="1" s="1"/>
  <c r="C199" i="1"/>
  <c r="M198" i="1"/>
  <c r="I198" i="1"/>
  <c r="J198" i="1" s="1"/>
  <c r="C198" i="1"/>
  <c r="M197" i="1"/>
  <c r="I197" i="1"/>
  <c r="J197" i="1" s="1"/>
  <c r="C197" i="1"/>
  <c r="M196" i="1"/>
  <c r="I196" i="1"/>
  <c r="J196" i="1" s="1"/>
  <c r="C196" i="1"/>
  <c r="M195" i="1"/>
  <c r="I195" i="1"/>
  <c r="J195" i="1" s="1"/>
  <c r="C195" i="1"/>
  <c r="M194" i="1"/>
  <c r="I194" i="1"/>
  <c r="J194" i="1" s="1"/>
  <c r="C194" i="1"/>
  <c r="M193" i="1"/>
  <c r="I193" i="1"/>
  <c r="J193" i="1" s="1"/>
  <c r="C193" i="1"/>
  <c r="M192" i="1"/>
  <c r="I192" i="1"/>
  <c r="J192" i="1" s="1"/>
  <c r="C192" i="1"/>
  <c r="M191" i="1"/>
  <c r="I191" i="1"/>
  <c r="J191" i="1" s="1"/>
  <c r="C191" i="1"/>
  <c r="M190" i="1"/>
  <c r="I190" i="1"/>
  <c r="J190" i="1" s="1"/>
  <c r="C190" i="1"/>
  <c r="M189" i="1"/>
  <c r="I189" i="1"/>
  <c r="J189" i="1" s="1"/>
  <c r="C189" i="1"/>
  <c r="M188" i="1"/>
  <c r="I188" i="1"/>
  <c r="J188" i="1" s="1"/>
  <c r="C188" i="1"/>
  <c r="M187" i="1"/>
  <c r="I187" i="1"/>
  <c r="J187" i="1" s="1"/>
  <c r="C187" i="1"/>
  <c r="M186" i="1"/>
  <c r="I186" i="1"/>
  <c r="J186" i="1" s="1"/>
  <c r="C186" i="1"/>
  <c r="M185" i="1"/>
  <c r="I185" i="1"/>
  <c r="J185" i="1" s="1"/>
  <c r="C185" i="1"/>
  <c r="M184" i="1"/>
  <c r="I184" i="1"/>
  <c r="J184" i="1" s="1"/>
  <c r="C184" i="1"/>
  <c r="M183" i="1"/>
  <c r="I183" i="1"/>
  <c r="J183" i="1" s="1"/>
  <c r="C183" i="1"/>
  <c r="M182" i="1"/>
  <c r="I182" i="1"/>
  <c r="J182" i="1" s="1"/>
  <c r="C182" i="1"/>
  <c r="M181" i="1"/>
  <c r="I181" i="1"/>
  <c r="J181" i="1" s="1"/>
  <c r="C181" i="1"/>
  <c r="M180" i="1"/>
  <c r="I180" i="1"/>
  <c r="J180" i="1" s="1"/>
  <c r="C180" i="1"/>
  <c r="M179" i="1"/>
  <c r="I179" i="1"/>
  <c r="J179" i="1" s="1"/>
  <c r="C179" i="1"/>
  <c r="M178" i="1"/>
  <c r="I178" i="1"/>
  <c r="J178" i="1" s="1"/>
  <c r="C178" i="1"/>
  <c r="M177" i="1"/>
  <c r="I177" i="1"/>
  <c r="J177" i="1" s="1"/>
  <c r="C177" i="1"/>
  <c r="M176" i="1"/>
  <c r="I176" i="1"/>
  <c r="J176" i="1" s="1"/>
  <c r="C176" i="1"/>
  <c r="M175" i="1"/>
  <c r="I175" i="1"/>
  <c r="J175" i="1" s="1"/>
  <c r="C175" i="1"/>
  <c r="M174" i="1"/>
  <c r="I174" i="1"/>
  <c r="J174" i="1" s="1"/>
  <c r="C174" i="1"/>
  <c r="M173" i="1"/>
  <c r="I173" i="1"/>
  <c r="J173" i="1" s="1"/>
  <c r="C173" i="1"/>
  <c r="M172" i="1"/>
  <c r="I172" i="1"/>
  <c r="J172" i="1" s="1"/>
  <c r="C172" i="1"/>
  <c r="M171" i="1"/>
  <c r="I171" i="1"/>
  <c r="J171" i="1" s="1"/>
  <c r="C171" i="1"/>
  <c r="M170" i="1"/>
  <c r="I170" i="1"/>
  <c r="J170" i="1" s="1"/>
  <c r="C170" i="1"/>
  <c r="M169" i="1"/>
  <c r="I169" i="1"/>
  <c r="J169" i="1" s="1"/>
  <c r="C169" i="1"/>
  <c r="M168" i="1"/>
  <c r="I168" i="1"/>
  <c r="J168" i="1" s="1"/>
  <c r="C168" i="1"/>
  <c r="M167" i="1"/>
  <c r="I167" i="1"/>
  <c r="J167" i="1" s="1"/>
  <c r="C167" i="1"/>
  <c r="M166" i="1"/>
  <c r="I166" i="1"/>
  <c r="J166" i="1" s="1"/>
  <c r="C166" i="1"/>
  <c r="M165" i="1"/>
  <c r="I165" i="1"/>
  <c r="J165" i="1" s="1"/>
  <c r="C165" i="1"/>
  <c r="M164" i="1"/>
  <c r="I164" i="1"/>
  <c r="J164" i="1" s="1"/>
  <c r="C164" i="1"/>
  <c r="M163" i="1"/>
  <c r="I163" i="1"/>
  <c r="J163" i="1" s="1"/>
  <c r="C163" i="1"/>
  <c r="M162" i="1"/>
  <c r="I162" i="1"/>
  <c r="J162" i="1" s="1"/>
  <c r="C162" i="1"/>
  <c r="M161" i="1"/>
  <c r="I161" i="1"/>
  <c r="J161" i="1" s="1"/>
  <c r="C161" i="1"/>
  <c r="M160" i="1"/>
  <c r="I160" i="1"/>
  <c r="J160" i="1" s="1"/>
  <c r="C160" i="1"/>
  <c r="M159" i="1"/>
  <c r="I159" i="1"/>
  <c r="J159" i="1" s="1"/>
  <c r="C159" i="1"/>
  <c r="M158" i="1"/>
  <c r="I158" i="1"/>
  <c r="J158" i="1" s="1"/>
  <c r="C158" i="1"/>
  <c r="M157" i="1"/>
  <c r="I157" i="1"/>
  <c r="J157" i="1" s="1"/>
  <c r="C157" i="1"/>
  <c r="M156" i="1"/>
  <c r="I156" i="1"/>
  <c r="J156" i="1" s="1"/>
  <c r="C156" i="1"/>
  <c r="M155" i="1"/>
  <c r="I155" i="1"/>
  <c r="J155" i="1" s="1"/>
  <c r="C155" i="1"/>
  <c r="M154" i="1"/>
  <c r="I154" i="1"/>
  <c r="J154" i="1" s="1"/>
  <c r="C154" i="1"/>
  <c r="M153" i="1"/>
  <c r="I153" i="1"/>
  <c r="J153" i="1" s="1"/>
  <c r="C153" i="1"/>
  <c r="M152" i="1"/>
  <c r="I152" i="1"/>
  <c r="J152" i="1" s="1"/>
  <c r="C152" i="1"/>
  <c r="M151" i="1"/>
  <c r="I151" i="1"/>
  <c r="J151" i="1" s="1"/>
  <c r="C151" i="1"/>
  <c r="M150" i="1"/>
  <c r="I150" i="1"/>
  <c r="J150" i="1" s="1"/>
  <c r="C150" i="1"/>
  <c r="M149" i="1"/>
  <c r="I149" i="1"/>
  <c r="J149" i="1" s="1"/>
  <c r="C149" i="1"/>
  <c r="M148" i="1"/>
  <c r="I148" i="1"/>
  <c r="J148" i="1" s="1"/>
  <c r="C148" i="1"/>
  <c r="M147" i="1"/>
  <c r="I147" i="1"/>
  <c r="J147" i="1" s="1"/>
  <c r="C147" i="1"/>
  <c r="M146" i="1"/>
  <c r="I146" i="1"/>
  <c r="J146" i="1" s="1"/>
  <c r="C146" i="1"/>
  <c r="M145" i="1"/>
  <c r="I145" i="1"/>
  <c r="J145" i="1" s="1"/>
  <c r="C145" i="1"/>
  <c r="M144" i="1"/>
  <c r="I144" i="1"/>
  <c r="J144" i="1" s="1"/>
  <c r="C144" i="1"/>
  <c r="M143" i="1"/>
  <c r="I143" i="1"/>
  <c r="J143" i="1" s="1"/>
  <c r="C143" i="1"/>
  <c r="M142" i="1"/>
  <c r="I142" i="1"/>
  <c r="J142" i="1" s="1"/>
  <c r="C142" i="1"/>
  <c r="M141" i="1"/>
  <c r="I141" i="1"/>
  <c r="J141" i="1" s="1"/>
  <c r="C141" i="1"/>
  <c r="M140" i="1"/>
  <c r="I140" i="1"/>
  <c r="J140" i="1" s="1"/>
  <c r="C140" i="1"/>
  <c r="M139" i="1"/>
  <c r="I139" i="1"/>
  <c r="J139" i="1" s="1"/>
  <c r="C139" i="1"/>
  <c r="M138" i="1"/>
  <c r="I138" i="1"/>
  <c r="J138" i="1" s="1"/>
  <c r="C138" i="1"/>
  <c r="M137" i="1"/>
  <c r="I137" i="1"/>
  <c r="J137" i="1" s="1"/>
  <c r="C137" i="1"/>
  <c r="M136" i="1"/>
  <c r="I136" i="1"/>
  <c r="J136" i="1" s="1"/>
  <c r="C136" i="1"/>
  <c r="M135" i="1"/>
  <c r="I135" i="1"/>
  <c r="J135" i="1" s="1"/>
  <c r="C135" i="1"/>
  <c r="M134" i="1"/>
  <c r="I134" i="1"/>
  <c r="J134" i="1" s="1"/>
  <c r="C134" i="1"/>
  <c r="M133" i="1"/>
  <c r="I133" i="1"/>
  <c r="J133" i="1" s="1"/>
  <c r="C133" i="1"/>
  <c r="M132" i="1"/>
  <c r="I132" i="1"/>
  <c r="J132" i="1" s="1"/>
  <c r="C132" i="1"/>
  <c r="M131" i="1"/>
  <c r="I131" i="1"/>
  <c r="J131" i="1" s="1"/>
  <c r="C131" i="1"/>
  <c r="M130" i="1"/>
  <c r="I130" i="1"/>
  <c r="J130" i="1" s="1"/>
  <c r="C130" i="1"/>
  <c r="M129" i="1"/>
  <c r="I129" i="1"/>
  <c r="J129" i="1" s="1"/>
  <c r="C129" i="1"/>
  <c r="M128" i="1"/>
  <c r="I128" i="1"/>
  <c r="J128" i="1" s="1"/>
  <c r="C128" i="1"/>
  <c r="M127" i="1"/>
  <c r="I127" i="1"/>
  <c r="J127" i="1" s="1"/>
  <c r="C127" i="1"/>
  <c r="M126" i="1"/>
  <c r="I126" i="1"/>
  <c r="J126" i="1" s="1"/>
  <c r="C126" i="1"/>
  <c r="M125" i="1"/>
  <c r="I125" i="1"/>
  <c r="J125" i="1" s="1"/>
  <c r="C125" i="1"/>
  <c r="M124" i="1"/>
  <c r="I124" i="1"/>
  <c r="J124" i="1" s="1"/>
  <c r="C124" i="1"/>
  <c r="M123" i="1"/>
  <c r="I123" i="1"/>
  <c r="J123" i="1" s="1"/>
  <c r="C123" i="1"/>
  <c r="M122" i="1"/>
  <c r="I122" i="1"/>
  <c r="J122" i="1" s="1"/>
  <c r="C122" i="1"/>
  <c r="M121" i="1"/>
  <c r="I121" i="1"/>
  <c r="J121" i="1" s="1"/>
  <c r="C121" i="1"/>
  <c r="M120" i="1"/>
  <c r="I120" i="1"/>
  <c r="J120" i="1" s="1"/>
  <c r="C120" i="1"/>
  <c r="I3" i="1"/>
  <c r="J3" i="1" s="1"/>
  <c r="I4" i="1"/>
  <c r="J4" i="1" s="1"/>
  <c r="I5" i="1"/>
  <c r="J5" i="1" s="1"/>
  <c r="I6" i="1"/>
  <c r="J6" i="1"/>
  <c r="I7" i="1"/>
  <c r="J7" i="1" s="1"/>
  <c r="I8" i="1"/>
  <c r="J8" i="1" s="1"/>
  <c r="I9" i="1"/>
  <c r="J9" i="1" s="1"/>
  <c r="I10" i="1"/>
  <c r="J10" i="1"/>
  <c r="I11" i="1"/>
  <c r="J11" i="1"/>
  <c r="I12" i="1"/>
  <c r="J12" i="1" s="1"/>
  <c r="I13" i="1"/>
  <c r="J13" i="1" s="1"/>
  <c r="I14" i="1"/>
  <c r="J14" i="1" s="1"/>
  <c r="I15" i="1"/>
  <c r="J15" i="1" s="1"/>
  <c r="I16" i="1"/>
  <c r="J16" i="1" s="1"/>
  <c r="I17" i="1"/>
  <c r="J17" i="1" s="1"/>
  <c r="I18" i="1"/>
  <c r="J18" i="1" s="1"/>
  <c r="I19" i="1"/>
  <c r="J19" i="1" s="1"/>
  <c r="I20" i="1"/>
  <c r="J20" i="1" s="1"/>
  <c r="I21" i="1"/>
  <c r="J21" i="1" s="1"/>
  <c r="I22" i="1"/>
  <c r="J22" i="1"/>
  <c r="I23" i="1"/>
  <c r="J23" i="1" s="1"/>
  <c r="I24" i="1"/>
  <c r="J24" i="1" s="1"/>
  <c r="I25" i="1"/>
  <c r="J25" i="1" s="1"/>
  <c r="I26" i="1"/>
  <c r="J26" i="1" s="1"/>
  <c r="I27" i="1"/>
  <c r="J27" i="1" s="1"/>
  <c r="I28" i="1"/>
  <c r="J28" i="1" s="1"/>
  <c r="I29" i="1"/>
  <c r="J29" i="1"/>
  <c r="I30" i="1"/>
  <c r="J30" i="1" s="1"/>
  <c r="I31" i="1"/>
  <c r="J31" i="1" s="1"/>
  <c r="I32" i="1"/>
  <c r="J32" i="1" s="1"/>
  <c r="I33" i="1"/>
  <c r="J33" i="1" s="1"/>
  <c r="I34" i="1"/>
  <c r="J34" i="1" s="1"/>
  <c r="I35" i="1"/>
  <c r="J35" i="1" s="1"/>
  <c r="I36" i="1"/>
  <c r="J36" i="1" s="1"/>
  <c r="I37" i="1"/>
  <c r="J37" i="1"/>
  <c r="I38" i="1"/>
  <c r="J38" i="1" s="1"/>
  <c r="I39" i="1"/>
  <c r="J39" i="1" s="1"/>
  <c r="I40" i="1"/>
  <c r="J40" i="1" s="1"/>
  <c r="I41" i="1"/>
  <c r="J41" i="1" s="1"/>
  <c r="I42" i="1"/>
  <c r="J42" i="1" s="1"/>
  <c r="I43" i="1"/>
  <c r="J43" i="1" s="1"/>
  <c r="I44" i="1"/>
  <c r="J44" i="1" s="1"/>
  <c r="I45" i="1"/>
  <c r="J45" i="1" s="1"/>
  <c r="I46" i="1"/>
  <c r="J46" i="1"/>
  <c r="I47" i="1"/>
  <c r="J47" i="1" s="1"/>
  <c r="I48" i="1"/>
  <c r="J48" i="1" s="1"/>
  <c r="I49" i="1"/>
  <c r="J49" i="1" s="1"/>
  <c r="I50" i="1"/>
  <c r="J50" i="1" s="1"/>
  <c r="I51" i="1"/>
  <c r="J51" i="1" s="1"/>
  <c r="I52" i="1"/>
  <c r="J52" i="1" s="1"/>
  <c r="I53" i="1"/>
  <c r="J53" i="1" s="1"/>
  <c r="I54" i="1"/>
  <c r="J54" i="1" s="1"/>
  <c r="I55" i="1"/>
  <c r="J55" i="1" s="1"/>
  <c r="I56" i="1"/>
  <c r="J56" i="1" s="1"/>
  <c r="I57" i="1"/>
  <c r="J57" i="1" s="1"/>
  <c r="I58" i="1"/>
  <c r="J58" i="1" s="1"/>
  <c r="I59" i="1"/>
  <c r="J59" i="1" s="1"/>
  <c r="I60" i="1"/>
  <c r="J60" i="1" s="1"/>
  <c r="I61" i="1"/>
  <c r="J61" i="1" s="1"/>
  <c r="I62" i="1"/>
  <c r="J62" i="1" s="1"/>
  <c r="I63" i="1"/>
  <c r="J63" i="1" s="1"/>
  <c r="I64" i="1"/>
  <c r="J64" i="1" s="1"/>
  <c r="I65" i="1"/>
  <c r="J65" i="1" s="1"/>
  <c r="I66" i="1"/>
  <c r="J66" i="1" s="1"/>
  <c r="I67" i="1"/>
  <c r="J67" i="1" s="1"/>
  <c r="I68" i="1"/>
  <c r="J68" i="1" s="1"/>
  <c r="I69" i="1"/>
  <c r="J69" i="1" s="1"/>
  <c r="I70" i="1"/>
  <c r="J70" i="1" s="1"/>
  <c r="I71" i="1"/>
  <c r="J71" i="1" s="1"/>
  <c r="I72" i="1"/>
  <c r="J72" i="1" s="1"/>
  <c r="I73" i="1"/>
  <c r="J73" i="1" s="1"/>
  <c r="I74" i="1"/>
  <c r="J74" i="1" s="1"/>
  <c r="I75" i="1"/>
  <c r="J75" i="1" s="1"/>
  <c r="I76" i="1"/>
  <c r="J76" i="1"/>
  <c r="I77" i="1"/>
  <c r="J77" i="1" s="1"/>
  <c r="I78" i="1"/>
  <c r="J78" i="1"/>
  <c r="I79" i="1"/>
  <c r="J79" i="1" s="1"/>
  <c r="I80" i="1"/>
  <c r="J80" i="1" s="1"/>
  <c r="I81" i="1"/>
  <c r="J81" i="1" s="1"/>
  <c r="I82" i="1"/>
  <c r="J82" i="1" s="1"/>
  <c r="I83" i="1"/>
  <c r="J83" i="1" s="1"/>
  <c r="I84" i="1"/>
  <c r="J84" i="1" s="1"/>
  <c r="I85" i="1"/>
  <c r="J85" i="1" s="1"/>
  <c r="I86" i="1"/>
  <c r="J86" i="1" s="1"/>
  <c r="I87" i="1"/>
  <c r="J87" i="1" s="1"/>
  <c r="I88" i="1"/>
  <c r="J88" i="1"/>
  <c r="I89" i="1"/>
  <c r="J89" i="1" s="1"/>
  <c r="I90" i="1"/>
  <c r="J90" i="1" s="1"/>
  <c r="I91" i="1"/>
  <c r="J91" i="1" s="1"/>
  <c r="I92" i="1"/>
  <c r="J92" i="1" s="1"/>
  <c r="I93" i="1"/>
  <c r="J93" i="1" s="1"/>
  <c r="I94" i="1"/>
  <c r="J94" i="1"/>
  <c r="I95" i="1"/>
  <c r="J95" i="1" s="1"/>
  <c r="I96" i="1"/>
  <c r="J96" i="1"/>
  <c r="I97" i="1"/>
  <c r="J97" i="1" s="1"/>
  <c r="I98" i="1"/>
  <c r="J98" i="1" s="1"/>
  <c r="I99" i="1"/>
  <c r="J99" i="1" s="1"/>
  <c r="I100" i="1"/>
  <c r="J100" i="1" s="1"/>
  <c r="I101" i="1"/>
  <c r="J101" i="1" s="1"/>
  <c r="I102" i="1"/>
  <c r="J102" i="1" s="1"/>
  <c r="I103" i="1"/>
  <c r="J103" i="1" s="1"/>
  <c r="I104" i="1"/>
  <c r="J104" i="1" s="1"/>
  <c r="I105" i="1"/>
  <c r="J105" i="1" s="1"/>
  <c r="I106" i="1"/>
  <c r="J106" i="1" s="1"/>
  <c r="I107" i="1"/>
  <c r="J107" i="1"/>
  <c r="I108" i="1"/>
  <c r="J108" i="1"/>
  <c r="I109" i="1"/>
  <c r="J109" i="1" s="1"/>
  <c r="I110" i="1"/>
  <c r="J110" i="1" s="1"/>
  <c r="I111" i="1"/>
  <c r="J111" i="1" s="1"/>
  <c r="I112" i="1"/>
  <c r="J112" i="1" s="1"/>
  <c r="I113" i="1"/>
  <c r="J113" i="1" s="1"/>
  <c r="I114" i="1"/>
  <c r="J114" i="1"/>
  <c r="I115" i="1"/>
  <c r="J115" i="1"/>
  <c r="I116" i="1"/>
  <c r="J116" i="1" s="1"/>
  <c r="I117" i="1"/>
  <c r="J117" i="1" s="1"/>
  <c r="I118" i="1"/>
  <c r="J118" i="1" s="1"/>
  <c r="I119" i="1"/>
  <c r="J119" i="1" s="1"/>
  <c r="I2" i="1"/>
  <c r="J2" i="1" s="1"/>
  <c r="M119" i="1"/>
  <c r="C119" i="1"/>
  <c r="M118" i="1"/>
  <c r="C118" i="1"/>
  <c r="M117" i="1"/>
  <c r="C117" i="1"/>
  <c r="M116" i="1"/>
  <c r="C116" i="1"/>
  <c r="M115" i="1"/>
  <c r="C115" i="1"/>
  <c r="M114" i="1"/>
  <c r="C114" i="1"/>
  <c r="M113" i="1"/>
  <c r="C113" i="1"/>
  <c r="M112" i="1"/>
  <c r="C112" i="1"/>
  <c r="M111" i="1"/>
  <c r="C111" i="1"/>
  <c r="M110" i="1"/>
  <c r="C110" i="1"/>
  <c r="M109" i="1"/>
  <c r="C109" i="1"/>
  <c r="M108" i="1"/>
  <c r="C108" i="1"/>
  <c r="M107" i="1"/>
  <c r="C107" i="1"/>
  <c r="M106" i="1"/>
  <c r="C106" i="1"/>
  <c r="M105" i="1"/>
  <c r="C105" i="1"/>
  <c r="M104" i="1"/>
  <c r="C104" i="1"/>
  <c r="M103" i="1"/>
  <c r="C103" i="1"/>
  <c r="M102" i="1"/>
  <c r="C102" i="1"/>
  <c r="M101" i="1"/>
  <c r="C101" i="1"/>
  <c r="M100" i="1"/>
  <c r="C100" i="1"/>
  <c r="M99" i="1"/>
  <c r="C99" i="1"/>
  <c r="M98" i="1"/>
  <c r="C98" i="1"/>
  <c r="M97" i="1"/>
  <c r="C97" i="1"/>
  <c r="M96" i="1"/>
  <c r="C96" i="1"/>
  <c r="M95" i="1"/>
  <c r="C95" i="1"/>
  <c r="M94" i="1"/>
  <c r="C94" i="1"/>
  <c r="M93" i="1"/>
  <c r="C93" i="1"/>
  <c r="M92" i="1"/>
  <c r="C92" i="1"/>
  <c r="M91" i="1"/>
  <c r="C91" i="1"/>
  <c r="M90" i="1"/>
  <c r="C90" i="1"/>
  <c r="M89" i="1"/>
  <c r="C89" i="1"/>
  <c r="M88" i="1"/>
  <c r="C88" i="1"/>
  <c r="M87" i="1"/>
  <c r="C87" i="1"/>
  <c r="M86" i="1"/>
  <c r="C86" i="1"/>
  <c r="M85" i="1"/>
  <c r="C85" i="1"/>
  <c r="M84" i="1"/>
  <c r="C84" i="1"/>
  <c r="M83" i="1"/>
  <c r="C83" i="1"/>
  <c r="M82" i="1"/>
  <c r="C82" i="1"/>
  <c r="M81" i="1"/>
  <c r="C81" i="1"/>
  <c r="M80" i="1"/>
  <c r="C80" i="1"/>
  <c r="M79" i="1"/>
  <c r="C79" i="1"/>
  <c r="M78" i="1"/>
  <c r="C78" i="1"/>
  <c r="M77" i="1"/>
  <c r="C77" i="1"/>
  <c r="M76" i="1"/>
  <c r="C76" i="1"/>
  <c r="M75" i="1"/>
  <c r="C75" i="1"/>
  <c r="M74" i="1"/>
  <c r="C74" i="1"/>
  <c r="M73" i="1"/>
  <c r="C73" i="1"/>
  <c r="M72" i="1"/>
  <c r="C72" i="1"/>
  <c r="M71" i="1"/>
  <c r="C71" i="1"/>
  <c r="M70" i="1"/>
  <c r="C70" i="1"/>
  <c r="M69" i="1"/>
  <c r="C69" i="1"/>
  <c r="M68" i="1"/>
  <c r="C68" i="1"/>
  <c r="M67" i="1"/>
  <c r="C67" i="1"/>
  <c r="M66" i="1"/>
  <c r="C66" i="1"/>
  <c r="M65" i="1"/>
  <c r="C65" i="1"/>
  <c r="M64" i="1"/>
  <c r="C64" i="1"/>
  <c r="M63" i="1"/>
  <c r="C63" i="1"/>
  <c r="M62" i="1"/>
  <c r="C62" i="1"/>
  <c r="M61" i="1"/>
  <c r="C61" i="1"/>
  <c r="M60" i="1"/>
  <c r="C60" i="1"/>
  <c r="M59" i="1"/>
  <c r="C59" i="1"/>
  <c r="M58" i="1"/>
  <c r="C58" i="1"/>
  <c r="M57" i="1"/>
  <c r="C57" i="1"/>
  <c r="M56" i="1"/>
  <c r="C56" i="1"/>
  <c r="M55" i="1"/>
  <c r="C55" i="1"/>
  <c r="M54" i="1"/>
  <c r="C54" i="1"/>
  <c r="M53" i="1"/>
  <c r="C53" i="1"/>
  <c r="M52" i="1"/>
  <c r="C52" i="1"/>
  <c r="M51" i="1"/>
  <c r="C51" i="1"/>
  <c r="M50" i="1"/>
  <c r="C50" i="1"/>
  <c r="M49" i="1"/>
  <c r="C49" i="1"/>
  <c r="M48" i="1"/>
  <c r="C48" i="1"/>
  <c r="M47" i="1"/>
  <c r="C47" i="1"/>
  <c r="M46" i="1"/>
  <c r="C46" i="1"/>
  <c r="M45" i="1"/>
  <c r="C45" i="1"/>
  <c r="M44" i="1"/>
  <c r="C44" i="1"/>
  <c r="M43" i="1"/>
  <c r="C43" i="1"/>
  <c r="M42" i="1"/>
  <c r="C42" i="1"/>
  <c r="M41" i="1"/>
  <c r="C41" i="1"/>
  <c r="M40" i="1"/>
  <c r="C40" i="1"/>
  <c r="M39" i="1"/>
  <c r="C39" i="1"/>
  <c r="M38" i="1"/>
  <c r="C38" i="1"/>
  <c r="M37" i="1"/>
  <c r="C37" i="1"/>
  <c r="M36" i="1"/>
  <c r="C36" i="1"/>
  <c r="M35" i="1"/>
  <c r="C35" i="1"/>
  <c r="M34" i="1"/>
  <c r="C34" i="1"/>
  <c r="M33" i="1"/>
  <c r="C33" i="1"/>
  <c r="M32" i="1"/>
  <c r="C32" i="1"/>
  <c r="M31" i="1"/>
  <c r="C31" i="1"/>
  <c r="M30" i="1"/>
  <c r="C30" i="1"/>
  <c r="M29" i="1"/>
  <c r="C29" i="1"/>
  <c r="M28" i="1"/>
  <c r="C28" i="1"/>
  <c r="M27" i="1"/>
  <c r="C27" i="1"/>
  <c r="M26" i="1"/>
  <c r="C26" i="1"/>
  <c r="M25" i="1"/>
  <c r="C25" i="1"/>
  <c r="M24" i="1"/>
  <c r="C24" i="1"/>
  <c r="M23" i="1"/>
  <c r="C23" i="1"/>
  <c r="M22" i="1"/>
  <c r="C22" i="1"/>
  <c r="M21" i="1"/>
  <c r="C21" i="1"/>
  <c r="M20" i="1"/>
  <c r="C20" i="1"/>
  <c r="M19" i="1"/>
  <c r="C19" i="1"/>
  <c r="M18" i="1"/>
  <c r="C18" i="1"/>
  <c r="M17" i="1"/>
  <c r="C17" i="1"/>
  <c r="M16" i="1"/>
  <c r="C16" i="1"/>
  <c r="M15" i="1"/>
  <c r="C15" i="1"/>
  <c r="M14" i="1"/>
  <c r="C14" i="1"/>
  <c r="M13" i="1"/>
  <c r="C13" i="1"/>
  <c r="M12" i="1"/>
  <c r="C12" i="1"/>
  <c r="M11" i="1"/>
  <c r="C11" i="1"/>
  <c r="M10" i="1"/>
  <c r="C10" i="1"/>
  <c r="M9" i="1"/>
  <c r="C9" i="1"/>
  <c r="M8" i="1"/>
  <c r="C8" i="1"/>
  <c r="M7" i="1"/>
  <c r="C7" i="1"/>
  <c r="M6" i="1"/>
  <c r="C6" i="1"/>
  <c r="M5" i="1"/>
  <c r="C5" i="1"/>
  <c r="M4" i="1"/>
  <c r="C4" i="1"/>
  <c r="M3" i="1"/>
  <c r="C3" i="1"/>
  <c r="M2" i="1"/>
  <c r="C2" i="1"/>
  <c r="N178" i="1" l="1"/>
  <c r="N130" i="1"/>
  <c r="N134" i="1"/>
  <c r="N142" i="1"/>
  <c r="N177" i="1"/>
  <c r="N138" i="1"/>
  <c r="N159" i="1"/>
  <c r="N170" i="1"/>
  <c r="N203" i="1"/>
  <c r="N174" i="1"/>
  <c r="N188" i="1"/>
  <c r="N204" i="1"/>
  <c r="N135" i="1"/>
  <c r="N164" i="1"/>
  <c r="N175" i="1"/>
  <c r="N205" i="1"/>
  <c r="N129" i="1"/>
  <c r="N193" i="1"/>
  <c r="N122" i="1"/>
  <c r="N143" i="1"/>
  <c r="N206" i="1"/>
  <c r="N126" i="1"/>
  <c r="N140" i="1"/>
  <c r="N179" i="1"/>
  <c r="N147" i="1"/>
  <c r="N151" i="1"/>
  <c r="N158" i="1"/>
  <c r="N169" i="1"/>
  <c r="N176" i="1"/>
  <c r="N201" i="1"/>
  <c r="N207" i="1"/>
  <c r="N152" i="1"/>
  <c r="N131" i="1"/>
  <c r="N195" i="1"/>
  <c r="N128" i="1"/>
  <c r="N153" i="1"/>
  <c r="N157" i="1"/>
  <c r="N150" i="1"/>
  <c r="N162" i="1"/>
  <c r="N183" i="1"/>
  <c r="N187" i="1"/>
  <c r="N194" i="1"/>
  <c r="N191" i="1"/>
  <c r="N145" i="1"/>
  <c r="N163" i="1"/>
  <c r="N181" i="1"/>
  <c r="N199" i="1"/>
  <c r="N197" i="1"/>
  <c r="N167" i="1"/>
  <c r="N139" i="1"/>
  <c r="N146" i="1"/>
  <c r="N171" i="1"/>
  <c r="N189" i="1"/>
  <c r="N182" i="1"/>
  <c r="N200" i="1"/>
  <c r="N186" i="1"/>
  <c r="N133" i="1"/>
  <c r="N165" i="1"/>
  <c r="N172" i="1"/>
  <c r="N127" i="1"/>
  <c r="N141" i="1"/>
  <c r="N155" i="1"/>
  <c r="N198" i="1"/>
  <c r="N202" i="1"/>
  <c r="N208" i="1"/>
  <c r="N123" i="1"/>
  <c r="N121" i="1"/>
  <c r="N154" i="1"/>
  <c r="N124" i="1"/>
  <c r="N160" i="1"/>
  <c r="N196" i="1"/>
  <c r="N166" i="1"/>
  <c r="N136" i="1"/>
  <c r="N184" i="1"/>
  <c r="N120" i="1"/>
  <c r="N132" i="1"/>
  <c r="N144" i="1"/>
  <c r="N156" i="1"/>
  <c r="N168" i="1"/>
  <c r="N180" i="1"/>
  <c r="N192" i="1"/>
  <c r="N190" i="1"/>
  <c r="N148" i="1"/>
  <c r="N125" i="1"/>
  <c r="N137" i="1"/>
  <c r="N149" i="1"/>
  <c r="N161" i="1"/>
  <c r="N173" i="1"/>
  <c r="N185" i="1"/>
  <c r="N20" i="1"/>
  <c r="N32" i="1"/>
  <c r="N56" i="1"/>
  <c r="N41" i="1"/>
  <c r="N53" i="1"/>
  <c r="N55" i="1"/>
  <c r="N30" i="1"/>
  <c r="N66" i="1"/>
  <c r="N72" i="1"/>
  <c r="N84" i="1"/>
  <c r="N90" i="1"/>
  <c r="N102" i="1"/>
  <c r="N114" i="1"/>
  <c r="N16" i="1"/>
  <c r="N23" i="1"/>
  <c r="N27" i="1"/>
  <c r="N38" i="1"/>
  <c r="N49" i="1"/>
  <c r="N5" i="1"/>
  <c r="N61" i="1"/>
  <c r="N73" i="1"/>
  <c r="N79" i="1"/>
  <c r="N91" i="1"/>
  <c r="N97" i="1"/>
  <c r="N103" i="1"/>
  <c r="N115" i="1"/>
  <c r="N2" i="1"/>
  <c r="N13" i="1"/>
  <c r="N28" i="1"/>
  <c r="N39" i="1"/>
  <c r="N46" i="1"/>
  <c r="N50" i="1"/>
  <c r="N62" i="1"/>
  <c r="N74" i="1"/>
  <c r="N86" i="1"/>
  <c r="N92" i="1"/>
  <c r="N104" i="1"/>
  <c r="N116" i="1"/>
  <c r="N17" i="1"/>
  <c r="N63" i="1"/>
  <c r="N75" i="1"/>
  <c r="N81" i="1"/>
  <c r="N93" i="1"/>
  <c r="N99" i="1"/>
  <c r="N105" i="1"/>
  <c r="N117" i="1"/>
  <c r="N3" i="1"/>
  <c r="N10" i="1"/>
  <c r="N14" i="1"/>
  <c r="N21" i="1"/>
  <c r="N25" i="1"/>
  <c r="N36" i="1"/>
  <c r="N40" i="1"/>
  <c r="N47" i="1"/>
  <c r="N51" i="1"/>
  <c r="N54" i="1"/>
  <c r="N29" i="1"/>
  <c r="N58" i="1"/>
  <c r="N64" i="1"/>
  <c r="N70" i="1"/>
  <c r="N76" i="1"/>
  <c r="N82" i="1"/>
  <c r="N88" i="1"/>
  <c r="N94" i="1"/>
  <c r="N100" i="1"/>
  <c r="N106" i="1"/>
  <c r="N112" i="1"/>
  <c r="N118" i="1"/>
  <c r="N18" i="1"/>
  <c r="N60" i="1"/>
  <c r="N78" i="1"/>
  <c r="N96" i="1"/>
  <c r="N108" i="1"/>
  <c r="N19" i="1"/>
  <c r="N34" i="1"/>
  <c r="N45" i="1"/>
  <c r="N67" i="1"/>
  <c r="N85" i="1"/>
  <c r="N109" i="1"/>
  <c r="N42" i="1"/>
  <c r="N9" i="1"/>
  <c r="N24" i="1"/>
  <c r="N35" i="1"/>
  <c r="N68" i="1"/>
  <c r="N80" i="1"/>
  <c r="N98" i="1"/>
  <c r="N110" i="1"/>
  <c r="N57" i="1"/>
  <c r="N6" i="1"/>
  <c r="N69" i="1"/>
  <c r="N87" i="1"/>
  <c r="N111" i="1"/>
  <c r="N4" i="1"/>
  <c r="N7" i="1"/>
  <c r="N11" i="1"/>
  <c r="N15" i="1"/>
  <c r="N22" i="1"/>
  <c r="N26" i="1"/>
  <c r="N33" i="1"/>
  <c r="N37" i="1"/>
  <c r="N44" i="1"/>
  <c r="N48" i="1"/>
  <c r="N52" i="1"/>
  <c r="N59" i="1"/>
  <c r="N65" i="1"/>
  <c r="N71" i="1"/>
  <c r="N77" i="1"/>
  <c r="N83" i="1"/>
  <c r="N89" i="1"/>
  <c r="N95" i="1"/>
  <c r="N101" i="1"/>
  <c r="N107" i="1"/>
  <c r="N113" i="1"/>
  <c r="N119" i="1"/>
  <c r="N43" i="1"/>
  <c r="N31" i="1"/>
  <c r="N12" i="1"/>
  <c r="N8" i="1"/>
</calcChain>
</file>

<file path=xl/sharedStrings.xml><?xml version="1.0" encoding="utf-8"?>
<sst xmlns="http://schemas.openxmlformats.org/spreadsheetml/2006/main" count="1273" uniqueCount="163">
  <si>
    <t>Serial No</t>
  </si>
  <si>
    <t>Series</t>
  </si>
  <si>
    <t>Item Code</t>
  </si>
  <si>
    <t>Group</t>
  </si>
  <si>
    <t>Category</t>
  </si>
  <si>
    <t>Product Name</t>
  </si>
  <si>
    <t>Factory Price</t>
  </si>
  <si>
    <t>Total</t>
  </si>
  <si>
    <t>Cavity</t>
  </si>
  <si>
    <t>Size ML</t>
  </si>
  <si>
    <t>Description</t>
  </si>
  <si>
    <t>Duplicate</t>
  </si>
  <si>
    <t>K</t>
  </si>
  <si>
    <t>Kulfi Stick</t>
  </si>
  <si>
    <t>Kulfi Traditional</t>
  </si>
  <si>
    <t>Desi Malai</t>
  </si>
  <si>
    <t>42CAV</t>
  </si>
  <si>
    <t>50ML</t>
  </si>
  <si>
    <t>Malai Vanilla</t>
  </si>
  <si>
    <t>Kesar Malai</t>
  </si>
  <si>
    <t>Kesar Pista</t>
  </si>
  <si>
    <t>Malai Badam</t>
  </si>
  <si>
    <t>Chocolate</t>
  </si>
  <si>
    <t>Chocoalte Chip</t>
  </si>
  <si>
    <t>Butterscotch</t>
  </si>
  <si>
    <t>Tutti frutti</t>
  </si>
  <si>
    <t>Kulfi Fruit Base</t>
  </si>
  <si>
    <t>Alphonso Mango</t>
  </si>
  <si>
    <t>Blueberry</t>
  </si>
  <si>
    <t>Strawberry</t>
  </si>
  <si>
    <t>Guva Pink</t>
  </si>
  <si>
    <t>Blackcurrant</t>
  </si>
  <si>
    <t>Rainbow Kulfi</t>
  </si>
  <si>
    <t>Kulfi Assorted</t>
  </si>
  <si>
    <t>Rose Gulkanda</t>
  </si>
  <si>
    <t>Calcutta Paan</t>
  </si>
  <si>
    <t>Dry Fruit</t>
  </si>
  <si>
    <t>Rajbhog Kulfi</t>
  </si>
  <si>
    <t>Kesar Badam Pista</t>
  </si>
  <si>
    <t>Almond Pista</t>
  </si>
  <si>
    <t>Gulab Jamun</t>
  </si>
  <si>
    <t>Basunthi</t>
  </si>
  <si>
    <t>Kulfi CO&amp;CA</t>
  </si>
  <si>
    <t>Brownie Choco</t>
  </si>
  <si>
    <t>Redvelvet</t>
  </si>
  <si>
    <t>BlackForest</t>
  </si>
  <si>
    <t>Cookies</t>
  </si>
  <si>
    <t>Oreo Vanilla</t>
  </si>
  <si>
    <t>Biscoff</t>
  </si>
  <si>
    <t>Kulfi Duet</t>
  </si>
  <si>
    <t>Malai Choco</t>
  </si>
  <si>
    <t>Malai Pista</t>
  </si>
  <si>
    <t>Natural Ice Cream Sticks</t>
  </si>
  <si>
    <t>Berry Blast</t>
  </si>
  <si>
    <t>Chickoo</t>
  </si>
  <si>
    <t>JackFruit</t>
  </si>
  <si>
    <t>Litchi</t>
  </si>
  <si>
    <t>Mango</t>
  </si>
  <si>
    <t>Mixed Berry</t>
  </si>
  <si>
    <t>Rasberry</t>
  </si>
  <si>
    <t>Strawberry Fruit</t>
  </si>
  <si>
    <t>Tender Coconut</t>
  </si>
  <si>
    <t>Jamun</t>
  </si>
  <si>
    <t>Stick Bar</t>
  </si>
  <si>
    <t>Choco Bar</t>
  </si>
  <si>
    <t>Fruit &amp; Nut Choco Bar</t>
  </si>
  <si>
    <t>Kulfi Choco Bar</t>
  </si>
  <si>
    <t>Nutty Choco Bar</t>
  </si>
  <si>
    <t>Vanilla Choco Bar</t>
  </si>
  <si>
    <t>M</t>
  </si>
  <si>
    <t>Matka</t>
  </si>
  <si>
    <t>Malai</t>
  </si>
  <si>
    <t>1NO</t>
  </si>
  <si>
    <t>100ML</t>
  </si>
  <si>
    <t>Badam Pista</t>
  </si>
  <si>
    <t>C</t>
  </si>
  <si>
    <t>Cassataa</t>
  </si>
  <si>
    <t>Ice Cream Cassatta</t>
  </si>
  <si>
    <t>Rainbow Casatta</t>
  </si>
  <si>
    <t>100G</t>
  </si>
  <si>
    <t>Fruit Cassatta</t>
  </si>
  <si>
    <t>Chocolate Casatta</t>
  </si>
  <si>
    <t>Oreo Casatta</t>
  </si>
  <si>
    <t>P</t>
  </si>
  <si>
    <t>Popsicle</t>
  </si>
  <si>
    <t>Popsicle Water Base</t>
  </si>
  <si>
    <t>Grape</t>
  </si>
  <si>
    <t>50CAV</t>
  </si>
  <si>
    <t>40ML</t>
  </si>
  <si>
    <t>Lemon</t>
  </si>
  <si>
    <t>Pinapple</t>
  </si>
  <si>
    <t>Orange</t>
  </si>
  <si>
    <t>Popsicle Regular</t>
  </si>
  <si>
    <t>Rose Milk</t>
  </si>
  <si>
    <t>Semiya Rose Milk</t>
  </si>
  <si>
    <t>Coffee</t>
  </si>
  <si>
    <t>Vanilla</t>
  </si>
  <si>
    <t xml:space="preserve">Passion Fruit </t>
  </si>
  <si>
    <t>Kaccha Mango</t>
  </si>
  <si>
    <t>Kiwi</t>
  </si>
  <si>
    <t>Popsicle Premium</t>
  </si>
  <si>
    <t>Popsicle Special</t>
  </si>
  <si>
    <t>Popsicle Mini</t>
  </si>
  <si>
    <t>18ML</t>
  </si>
  <si>
    <t>Rose</t>
  </si>
  <si>
    <t>Pista</t>
  </si>
  <si>
    <t>Guva</t>
  </si>
  <si>
    <t>Salted Carmel</t>
  </si>
  <si>
    <t>GST</t>
  </si>
  <si>
    <t>GST Value</t>
  </si>
  <si>
    <t>BG</t>
  </si>
  <si>
    <t>Gallon</t>
  </si>
  <si>
    <t>Classic Cream Gallon</t>
  </si>
  <si>
    <t>1Nos</t>
  </si>
  <si>
    <t>4Ltr</t>
  </si>
  <si>
    <t>Rose Petals</t>
  </si>
  <si>
    <t xml:space="preserve">Madras Coffee </t>
  </si>
  <si>
    <t>Chocolate Chips</t>
  </si>
  <si>
    <t>Premium Gallon</t>
  </si>
  <si>
    <t>Rose and Almound</t>
  </si>
  <si>
    <t>Honey and Fig</t>
  </si>
  <si>
    <t>Rosted Almound Choco</t>
  </si>
  <si>
    <t>Nut Butterscotch</t>
  </si>
  <si>
    <t>Kesar Badam</t>
  </si>
  <si>
    <t>Basaunthi</t>
  </si>
  <si>
    <t>Oreo</t>
  </si>
  <si>
    <t>Oreo Chocolate</t>
  </si>
  <si>
    <t>Choco Brownine</t>
  </si>
  <si>
    <t>Dark Choco</t>
  </si>
  <si>
    <t>White Choco</t>
  </si>
  <si>
    <t>Spanish Delight</t>
  </si>
  <si>
    <t>Nutella</t>
  </si>
  <si>
    <t>Kit Kat</t>
  </si>
  <si>
    <t>Fruit Blend Gallon</t>
  </si>
  <si>
    <t>Arabic Dates</t>
  </si>
  <si>
    <t>Avacado</t>
  </si>
  <si>
    <t>Custard Apple</t>
  </si>
  <si>
    <t>Guava Pink</t>
  </si>
  <si>
    <t>Guava Spicy</t>
  </si>
  <si>
    <t>Gulkand</t>
  </si>
  <si>
    <t>Watermelon</t>
  </si>
  <si>
    <t>Mukkani (Mango, Jackfruit, Banana)</t>
  </si>
  <si>
    <t>Pineapple Delight</t>
  </si>
  <si>
    <t>Strawberry Pure</t>
  </si>
  <si>
    <t>T</t>
  </si>
  <si>
    <t>Tubs</t>
  </si>
  <si>
    <t>Tub Ice Cream</t>
  </si>
  <si>
    <t>500ML</t>
  </si>
  <si>
    <t>FP</t>
  </si>
  <si>
    <t>Family Pack</t>
  </si>
  <si>
    <t>Family Pack 700ML</t>
  </si>
  <si>
    <t>On Request</t>
  </si>
  <si>
    <t>700 ML</t>
  </si>
  <si>
    <t>BFD</t>
  </si>
  <si>
    <t>FD Gallon</t>
  </si>
  <si>
    <t>Frozen Dessert Gallon</t>
  </si>
  <si>
    <t>BFD102</t>
  </si>
  <si>
    <t>BFD103</t>
  </si>
  <si>
    <t>BFD104</t>
  </si>
  <si>
    <t>BFD105</t>
  </si>
  <si>
    <t>BFD106</t>
  </si>
  <si>
    <t>BFD107</t>
  </si>
  <si>
    <t>BFD109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</si>
</sst>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/>
    <xf numFmtId="0" fontId="2" fillId="0" borderId="1" xfId="0" applyFont="1" applyBorder="1" applyAlignment="1">
      <alignment horizontal="center" vertical="top"/>
    </xf>
    <xf numFmtId="0" fontId="3" fillId="0" borderId="0" xfId="0" applyFont="1" applyAlignment="1">
      <alignment horizontal="left"/>
    </xf>
    <xf numFmtId="0" fontId="3" fillId="0" borderId="0" xfId="0" applyFont="1"/>
    <xf numFmtId="0" fontId="3" fillId="0" borderId="0" xfId="0" applyFont="1" applyAlignment="1">
      <alignment horizontal="center"/>
    </xf>
    <xf numFmtId="2" fontId="3" fillId="0" borderId="0" xfId="0" applyNumberFormat="1" applyFont="1"/>
    <xf numFmtId="0" fontId="0" fillId="0" borderId="0" xfId="0" applyBorder="1"/>
    <xf numFmtId="9" fontId="3" fillId="0" borderId="0" xfId="0" applyNumberFormat="1" applyFont="1" applyAlignment="1">
      <alignment horizontal="center"/>
    </xf>
    <xf numFmtId="0" fontId="1" fillId="2" borderId="0" xfId="0" applyFont="1" applyFill="1" applyAlignment="1">
      <alignment horizontal="center"/>
    </xf>
    <xf numFmtId="0" fontId="2" fillId="2" borderId="1" xfId="0" applyFont="1" applyFill="1" applyBorder="1" applyAlignment="1">
      <alignment horizontal="center" vertical="top"/>
    </xf>
    <xf numFmtId="2" fontId="2" fillId="2" borderId="1" xfId="0" applyNumberFormat="1" applyFont="1" applyFill="1" applyBorder="1" applyAlignment="1">
      <alignment horizontal="center" vertical="top"/>
    </xf>
    <xf numFmtId="2" fontId="3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08"/>
  <sheetViews>
    <sheetView tabSelected="1" workbookViewId="0">
      <pane ySplit="1" topLeftCell="A193" activePane="bottomLeft" state="frozen"/>
      <selection pane="bottomLeft" activeCell="K1" sqref="K1"/>
    </sheetView>
  </sheetViews>
  <sheetFormatPr defaultRowHeight="14.5" x14ac:dyDescent="0.35"/>
  <cols>
    <col min="1" max="1" width="8.54296875" bestFit="1" customWidth="1"/>
    <col min="2" max="2" width="6.1796875" bestFit="1" customWidth="1"/>
    <col min="3" max="3" width="9.453125" bestFit="1" customWidth="1"/>
    <col min="4" max="4" width="8.6328125" bestFit="1" customWidth="1"/>
    <col min="5" max="5" width="20.90625" bestFit="1" customWidth="1"/>
    <col min="6" max="6" width="18.453125" bestFit="1" customWidth="1"/>
    <col min="7" max="7" width="12.26953125" bestFit="1" customWidth="1"/>
    <col min="8" max="8" width="12.26953125" customWidth="1"/>
    <col min="9" max="9" width="12.26953125" style="8" customWidth="1"/>
    <col min="10" max="10" width="9.7265625" bestFit="1" customWidth="1"/>
    <col min="11" max="11" width="6.453125" bestFit="1" customWidth="1"/>
    <col min="12" max="12" width="7.54296875" bestFit="1" customWidth="1"/>
    <col min="13" max="13" width="46.6328125" bestFit="1" customWidth="1"/>
    <col min="14" max="14" width="8.81640625" bestFit="1" customWidth="1"/>
  </cols>
  <sheetData>
    <row r="1" spans="1:14" x14ac:dyDescent="0.35">
      <c r="A1" s="1" t="s">
        <v>0</v>
      </c>
      <c r="B1" s="2" t="s">
        <v>1</v>
      </c>
      <c r="C1" s="10" t="s">
        <v>2</v>
      </c>
      <c r="D1" s="10" t="s">
        <v>3</v>
      </c>
      <c r="E1" s="11" t="s">
        <v>4</v>
      </c>
      <c r="F1" s="11" t="s">
        <v>5</v>
      </c>
      <c r="G1" s="11" t="s">
        <v>6</v>
      </c>
      <c r="H1" s="12" t="s">
        <v>108</v>
      </c>
      <c r="I1" s="12" t="s">
        <v>109</v>
      </c>
      <c r="J1" s="12" t="s">
        <v>7</v>
      </c>
      <c r="K1" s="11" t="s">
        <v>8</v>
      </c>
      <c r="L1" s="11" t="s">
        <v>9</v>
      </c>
      <c r="M1" s="11" t="s">
        <v>10</v>
      </c>
      <c r="N1" s="3" t="s">
        <v>11</v>
      </c>
    </row>
    <row r="2" spans="1:14" x14ac:dyDescent="0.35">
      <c r="A2" s="4">
        <v>101</v>
      </c>
      <c r="B2" s="5" t="s">
        <v>12</v>
      </c>
      <c r="C2" s="5" t="str">
        <f t="shared" ref="C2:C65" si="0">B2&amp;A2</f>
        <v>K101</v>
      </c>
      <c r="D2" s="4" t="s">
        <v>13</v>
      </c>
      <c r="E2" s="5" t="s">
        <v>14</v>
      </c>
      <c r="F2" s="5" t="s">
        <v>15</v>
      </c>
      <c r="G2" s="13">
        <v>20</v>
      </c>
      <c r="H2" s="9">
        <v>0.05</v>
      </c>
      <c r="I2" s="13">
        <f>G2*H2</f>
        <v>1</v>
      </c>
      <c r="J2" s="7">
        <f>G2+I2</f>
        <v>21</v>
      </c>
      <c r="K2" s="5" t="s">
        <v>16</v>
      </c>
      <c r="L2" s="5" t="s">
        <v>17</v>
      </c>
      <c r="M2" s="5" t="str">
        <f>E2&amp;" "&amp;F2&amp;" "&amp;K2&amp;" "&amp;L2</f>
        <v>Kulfi Traditional Desi Malai 42CAV 50ML</v>
      </c>
      <c r="N2" s="5">
        <f>COUNTIF(M:M,M2)</f>
        <v>1</v>
      </c>
    </row>
    <row r="3" spans="1:14" x14ac:dyDescent="0.35">
      <c r="A3" s="4">
        <v>102</v>
      </c>
      <c r="B3" s="5" t="s">
        <v>12</v>
      </c>
      <c r="C3" s="5" t="str">
        <f t="shared" si="0"/>
        <v>K102</v>
      </c>
      <c r="D3" s="4" t="s">
        <v>13</v>
      </c>
      <c r="E3" s="5" t="s">
        <v>14</v>
      </c>
      <c r="F3" s="5" t="s">
        <v>18</v>
      </c>
      <c r="G3" s="13">
        <v>22</v>
      </c>
      <c r="H3" s="9">
        <v>0.05</v>
      </c>
      <c r="I3" s="13">
        <f t="shared" ref="I3:I66" si="1">G3*H3</f>
        <v>1.1000000000000001</v>
      </c>
      <c r="J3" s="7">
        <f t="shared" ref="J3:J66" si="2">G3+I3</f>
        <v>23.1</v>
      </c>
      <c r="K3" s="5" t="s">
        <v>16</v>
      </c>
      <c r="L3" s="5" t="s">
        <v>17</v>
      </c>
      <c r="M3" s="5" t="str">
        <f>E3&amp;" "&amp;F3&amp;" "&amp;K3&amp;" "&amp;L3</f>
        <v>Kulfi Traditional Malai Vanilla 42CAV 50ML</v>
      </c>
      <c r="N3" s="5">
        <f>COUNTIF(M:M,M3)</f>
        <v>1</v>
      </c>
    </row>
    <row r="4" spans="1:14" x14ac:dyDescent="0.35">
      <c r="A4" s="4">
        <v>103</v>
      </c>
      <c r="B4" s="5" t="s">
        <v>12</v>
      </c>
      <c r="C4" s="5" t="str">
        <f t="shared" si="0"/>
        <v>K103</v>
      </c>
      <c r="D4" s="4" t="s">
        <v>13</v>
      </c>
      <c r="E4" s="5" t="s">
        <v>14</v>
      </c>
      <c r="F4" s="5" t="s">
        <v>19</v>
      </c>
      <c r="G4" s="13">
        <v>22</v>
      </c>
      <c r="H4" s="9">
        <v>0.05</v>
      </c>
      <c r="I4" s="13">
        <f t="shared" si="1"/>
        <v>1.1000000000000001</v>
      </c>
      <c r="J4" s="7">
        <f t="shared" si="2"/>
        <v>23.1</v>
      </c>
      <c r="K4" s="5" t="s">
        <v>16</v>
      </c>
      <c r="L4" s="5" t="s">
        <v>17</v>
      </c>
      <c r="M4" s="5" t="str">
        <f>E4&amp;" "&amp;F4&amp;" "&amp;K4&amp;" "&amp;L4</f>
        <v>Kulfi Traditional Kesar Malai 42CAV 50ML</v>
      </c>
      <c r="N4" s="5">
        <f>COUNTIF(M:M,M4)</f>
        <v>1</v>
      </c>
    </row>
    <row r="5" spans="1:14" x14ac:dyDescent="0.35">
      <c r="A5" s="4">
        <v>104</v>
      </c>
      <c r="B5" s="5" t="s">
        <v>12</v>
      </c>
      <c r="C5" s="5" t="str">
        <f t="shared" si="0"/>
        <v>K104</v>
      </c>
      <c r="D5" s="4" t="s">
        <v>13</v>
      </c>
      <c r="E5" s="5" t="s">
        <v>14</v>
      </c>
      <c r="F5" s="5" t="s">
        <v>20</v>
      </c>
      <c r="G5" s="13">
        <v>26</v>
      </c>
      <c r="H5" s="9">
        <v>0.05</v>
      </c>
      <c r="I5" s="13">
        <f t="shared" si="1"/>
        <v>1.3</v>
      </c>
      <c r="J5" s="7">
        <f t="shared" si="2"/>
        <v>27.3</v>
      </c>
      <c r="K5" s="5" t="s">
        <v>16</v>
      </c>
      <c r="L5" s="5" t="s">
        <v>17</v>
      </c>
      <c r="M5" s="5" t="str">
        <f>E5&amp;" "&amp;F5&amp;" "&amp;K5&amp;" "&amp;L5</f>
        <v>Kulfi Traditional Kesar Pista 42CAV 50ML</v>
      </c>
      <c r="N5" s="5">
        <f>COUNTIF(M:M,M5)</f>
        <v>1</v>
      </c>
    </row>
    <row r="6" spans="1:14" x14ac:dyDescent="0.35">
      <c r="A6" s="4">
        <v>105</v>
      </c>
      <c r="B6" s="5" t="s">
        <v>12</v>
      </c>
      <c r="C6" s="5" t="str">
        <f t="shared" si="0"/>
        <v>K105</v>
      </c>
      <c r="D6" s="4" t="s">
        <v>13</v>
      </c>
      <c r="E6" s="5" t="s">
        <v>14</v>
      </c>
      <c r="F6" s="5" t="s">
        <v>21</v>
      </c>
      <c r="G6" s="13">
        <v>26</v>
      </c>
      <c r="H6" s="9">
        <v>0.05</v>
      </c>
      <c r="I6" s="13">
        <f t="shared" si="1"/>
        <v>1.3</v>
      </c>
      <c r="J6" s="7">
        <f t="shared" si="2"/>
        <v>27.3</v>
      </c>
      <c r="K6" s="5" t="s">
        <v>16</v>
      </c>
      <c r="L6" s="5" t="s">
        <v>17</v>
      </c>
      <c r="M6" s="5" t="str">
        <f>E6&amp;" "&amp;F6&amp;" "&amp;K6&amp;" "&amp;L6</f>
        <v>Kulfi Traditional Malai Badam 42CAV 50ML</v>
      </c>
      <c r="N6" s="5">
        <f>COUNTIF(M:M,M6)</f>
        <v>1</v>
      </c>
    </row>
    <row r="7" spans="1:14" x14ac:dyDescent="0.35">
      <c r="A7" s="4">
        <v>106</v>
      </c>
      <c r="B7" s="5" t="s">
        <v>12</v>
      </c>
      <c r="C7" s="5" t="str">
        <f t="shared" si="0"/>
        <v>K106</v>
      </c>
      <c r="D7" s="4" t="s">
        <v>13</v>
      </c>
      <c r="E7" s="5" t="s">
        <v>14</v>
      </c>
      <c r="F7" s="5" t="s">
        <v>22</v>
      </c>
      <c r="G7" s="13">
        <v>26</v>
      </c>
      <c r="H7" s="9">
        <v>0.05</v>
      </c>
      <c r="I7" s="13">
        <f t="shared" si="1"/>
        <v>1.3</v>
      </c>
      <c r="J7" s="7">
        <f t="shared" si="2"/>
        <v>27.3</v>
      </c>
      <c r="K7" s="5" t="s">
        <v>16</v>
      </c>
      <c r="L7" s="5" t="s">
        <v>17</v>
      </c>
      <c r="M7" s="5" t="str">
        <f>E7&amp;" "&amp;F7&amp;" "&amp;K7&amp;" "&amp;L7</f>
        <v>Kulfi Traditional Chocolate 42CAV 50ML</v>
      </c>
      <c r="N7" s="5">
        <f>COUNTIF(M:M,M7)</f>
        <v>1</v>
      </c>
    </row>
    <row r="8" spans="1:14" x14ac:dyDescent="0.35">
      <c r="A8" s="4">
        <v>107</v>
      </c>
      <c r="B8" s="5" t="s">
        <v>12</v>
      </c>
      <c r="C8" s="5" t="str">
        <f t="shared" si="0"/>
        <v>K107</v>
      </c>
      <c r="D8" s="4" t="s">
        <v>13</v>
      </c>
      <c r="E8" s="5" t="s">
        <v>14</v>
      </c>
      <c r="F8" s="5" t="s">
        <v>23</v>
      </c>
      <c r="G8" s="13">
        <v>26</v>
      </c>
      <c r="H8" s="9">
        <v>0.05</v>
      </c>
      <c r="I8" s="13">
        <f t="shared" si="1"/>
        <v>1.3</v>
      </c>
      <c r="J8" s="7">
        <f t="shared" si="2"/>
        <v>27.3</v>
      </c>
      <c r="K8" s="5" t="s">
        <v>16</v>
      </c>
      <c r="L8" s="5" t="s">
        <v>17</v>
      </c>
      <c r="M8" s="5" t="str">
        <f>E8&amp;" "&amp;F8&amp;" "&amp;K8&amp;" "&amp;L8</f>
        <v>Kulfi Traditional Chocoalte Chip 42CAV 50ML</v>
      </c>
      <c r="N8" s="5">
        <f>COUNTIF(M:M,M8)</f>
        <v>1</v>
      </c>
    </row>
    <row r="9" spans="1:14" x14ac:dyDescent="0.35">
      <c r="A9" s="4">
        <v>108</v>
      </c>
      <c r="B9" s="5" t="s">
        <v>12</v>
      </c>
      <c r="C9" s="5" t="str">
        <f t="shared" si="0"/>
        <v>K108</v>
      </c>
      <c r="D9" s="4" t="s">
        <v>13</v>
      </c>
      <c r="E9" s="5" t="s">
        <v>14</v>
      </c>
      <c r="F9" s="5" t="s">
        <v>24</v>
      </c>
      <c r="G9" s="13">
        <v>26</v>
      </c>
      <c r="H9" s="9">
        <v>0.05</v>
      </c>
      <c r="I9" s="13">
        <f t="shared" si="1"/>
        <v>1.3</v>
      </c>
      <c r="J9" s="7">
        <f t="shared" si="2"/>
        <v>27.3</v>
      </c>
      <c r="K9" s="5" t="s">
        <v>16</v>
      </c>
      <c r="L9" s="5" t="s">
        <v>17</v>
      </c>
      <c r="M9" s="5" t="str">
        <f>E9&amp;" "&amp;F9&amp;" "&amp;K9&amp;" "&amp;L9</f>
        <v>Kulfi Traditional Butterscotch 42CAV 50ML</v>
      </c>
      <c r="N9" s="5">
        <f>COUNTIF(M:M,M9)</f>
        <v>1</v>
      </c>
    </row>
    <row r="10" spans="1:14" x14ac:dyDescent="0.35">
      <c r="A10" s="4">
        <v>109</v>
      </c>
      <c r="B10" s="5" t="s">
        <v>12</v>
      </c>
      <c r="C10" s="5" t="str">
        <f t="shared" si="0"/>
        <v>K109</v>
      </c>
      <c r="D10" s="4" t="s">
        <v>13</v>
      </c>
      <c r="E10" s="5" t="s">
        <v>14</v>
      </c>
      <c r="F10" s="5" t="s">
        <v>25</v>
      </c>
      <c r="G10" s="13">
        <v>26</v>
      </c>
      <c r="H10" s="9">
        <v>0.05</v>
      </c>
      <c r="I10" s="13">
        <f t="shared" si="1"/>
        <v>1.3</v>
      </c>
      <c r="J10" s="7">
        <f t="shared" si="2"/>
        <v>27.3</v>
      </c>
      <c r="K10" s="5" t="s">
        <v>16</v>
      </c>
      <c r="L10" s="5" t="s">
        <v>17</v>
      </c>
      <c r="M10" s="5" t="str">
        <f>E10&amp;" "&amp;F10&amp;" "&amp;K10&amp;" "&amp;L10</f>
        <v>Kulfi Traditional Tutti frutti 42CAV 50ML</v>
      </c>
      <c r="N10" s="5">
        <f>COUNTIF(M:M,M10)</f>
        <v>1</v>
      </c>
    </row>
    <row r="11" spans="1:14" x14ac:dyDescent="0.35">
      <c r="A11" s="4">
        <v>110</v>
      </c>
      <c r="B11" s="5" t="s">
        <v>12</v>
      </c>
      <c r="C11" s="5" t="str">
        <f t="shared" si="0"/>
        <v>K110</v>
      </c>
      <c r="D11" s="4" t="s">
        <v>13</v>
      </c>
      <c r="E11" s="5" t="s">
        <v>26</v>
      </c>
      <c r="F11" s="5" t="s">
        <v>27</v>
      </c>
      <c r="G11" s="13">
        <v>26</v>
      </c>
      <c r="H11" s="9">
        <v>0.05</v>
      </c>
      <c r="I11" s="13">
        <f t="shared" si="1"/>
        <v>1.3</v>
      </c>
      <c r="J11" s="7">
        <f t="shared" si="2"/>
        <v>27.3</v>
      </c>
      <c r="K11" s="5" t="s">
        <v>16</v>
      </c>
      <c r="L11" s="5" t="s">
        <v>17</v>
      </c>
      <c r="M11" s="5" t="str">
        <f>E11&amp;" "&amp;F11&amp;" "&amp;K11&amp;" "&amp;L11</f>
        <v>Kulfi Fruit Base Alphonso Mango 42CAV 50ML</v>
      </c>
      <c r="N11" s="5">
        <f>COUNTIF(M:M,M11)</f>
        <v>1</v>
      </c>
    </row>
    <row r="12" spans="1:14" x14ac:dyDescent="0.35">
      <c r="A12" s="4">
        <v>111</v>
      </c>
      <c r="B12" s="5" t="s">
        <v>12</v>
      </c>
      <c r="C12" s="5" t="str">
        <f t="shared" si="0"/>
        <v>K111</v>
      </c>
      <c r="D12" s="4" t="s">
        <v>13</v>
      </c>
      <c r="E12" s="5" t="s">
        <v>26</v>
      </c>
      <c r="F12" s="5" t="s">
        <v>28</v>
      </c>
      <c r="G12" s="13">
        <v>26</v>
      </c>
      <c r="H12" s="9">
        <v>0.05</v>
      </c>
      <c r="I12" s="13">
        <f t="shared" si="1"/>
        <v>1.3</v>
      </c>
      <c r="J12" s="7">
        <f t="shared" si="2"/>
        <v>27.3</v>
      </c>
      <c r="K12" s="5" t="s">
        <v>16</v>
      </c>
      <c r="L12" s="5" t="s">
        <v>17</v>
      </c>
      <c r="M12" s="5" t="str">
        <f>E12&amp;" "&amp;F12&amp;" "&amp;K12&amp;" "&amp;L12</f>
        <v>Kulfi Fruit Base Blueberry 42CAV 50ML</v>
      </c>
      <c r="N12" s="5">
        <f>COUNTIF(M:M,M12)</f>
        <v>1</v>
      </c>
    </row>
    <row r="13" spans="1:14" x14ac:dyDescent="0.35">
      <c r="A13" s="4">
        <v>112</v>
      </c>
      <c r="B13" s="5" t="s">
        <v>12</v>
      </c>
      <c r="C13" s="5" t="str">
        <f t="shared" si="0"/>
        <v>K112</v>
      </c>
      <c r="D13" s="4" t="s">
        <v>13</v>
      </c>
      <c r="E13" s="5" t="s">
        <v>26</v>
      </c>
      <c r="F13" s="5" t="s">
        <v>29</v>
      </c>
      <c r="G13" s="13">
        <v>26</v>
      </c>
      <c r="H13" s="9">
        <v>0.05</v>
      </c>
      <c r="I13" s="13">
        <f t="shared" si="1"/>
        <v>1.3</v>
      </c>
      <c r="J13" s="7">
        <f t="shared" si="2"/>
        <v>27.3</v>
      </c>
      <c r="K13" s="5" t="s">
        <v>16</v>
      </c>
      <c r="L13" s="5" t="s">
        <v>17</v>
      </c>
      <c r="M13" s="5" t="str">
        <f>E13&amp;" "&amp;F13&amp;" "&amp;K13&amp;" "&amp;L13</f>
        <v>Kulfi Fruit Base Strawberry 42CAV 50ML</v>
      </c>
      <c r="N13" s="5">
        <f>COUNTIF(M:M,M13)</f>
        <v>1</v>
      </c>
    </row>
    <row r="14" spans="1:14" x14ac:dyDescent="0.35">
      <c r="A14" s="4">
        <v>113</v>
      </c>
      <c r="B14" s="5" t="s">
        <v>12</v>
      </c>
      <c r="C14" s="5" t="str">
        <f t="shared" si="0"/>
        <v>K113</v>
      </c>
      <c r="D14" s="4" t="s">
        <v>13</v>
      </c>
      <c r="E14" s="5" t="s">
        <v>26</v>
      </c>
      <c r="F14" s="5" t="s">
        <v>30</v>
      </c>
      <c r="G14" s="13">
        <v>26</v>
      </c>
      <c r="H14" s="9">
        <v>0.05</v>
      </c>
      <c r="I14" s="13">
        <f t="shared" si="1"/>
        <v>1.3</v>
      </c>
      <c r="J14" s="7">
        <f t="shared" si="2"/>
        <v>27.3</v>
      </c>
      <c r="K14" s="5" t="s">
        <v>16</v>
      </c>
      <c r="L14" s="5" t="s">
        <v>17</v>
      </c>
      <c r="M14" s="5" t="str">
        <f>E14&amp;" "&amp;F14&amp;" "&amp;K14&amp;" "&amp;L14</f>
        <v>Kulfi Fruit Base Guva Pink 42CAV 50ML</v>
      </c>
      <c r="N14" s="5">
        <f>COUNTIF(M:M,M14)</f>
        <v>1</v>
      </c>
    </row>
    <row r="15" spans="1:14" x14ac:dyDescent="0.35">
      <c r="A15" s="4">
        <v>114</v>
      </c>
      <c r="B15" s="5" t="s">
        <v>12</v>
      </c>
      <c r="C15" s="5" t="str">
        <f t="shared" si="0"/>
        <v>K114</v>
      </c>
      <c r="D15" s="4" t="s">
        <v>13</v>
      </c>
      <c r="E15" s="5" t="s">
        <v>26</v>
      </c>
      <c r="F15" s="5" t="s">
        <v>31</v>
      </c>
      <c r="G15" s="13">
        <v>26</v>
      </c>
      <c r="H15" s="9">
        <v>0.05</v>
      </c>
      <c r="I15" s="13">
        <f t="shared" si="1"/>
        <v>1.3</v>
      </c>
      <c r="J15" s="7">
        <f t="shared" si="2"/>
        <v>27.3</v>
      </c>
      <c r="K15" s="5" t="s">
        <v>16</v>
      </c>
      <c r="L15" s="5" t="s">
        <v>17</v>
      </c>
      <c r="M15" s="5" t="str">
        <f>E15&amp;" "&amp;F15&amp;" "&amp;K15&amp;" "&amp;L15</f>
        <v>Kulfi Fruit Base Blackcurrant 42CAV 50ML</v>
      </c>
      <c r="N15" s="5">
        <f>COUNTIF(M:M,M15)</f>
        <v>1</v>
      </c>
    </row>
    <row r="16" spans="1:14" x14ac:dyDescent="0.35">
      <c r="A16" s="4">
        <v>115</v>
      </c>
      <c r="B16" s="5" t="s">
        <v>12</v>
      </c>
      <c r="C16" s="5" t="str">
        <f t="shared" si="0"/>
        <v>K115</v>
      </c>
      <c r="D16" s="4" t="s">
        <v>13</v>
      </c>
      <c r="E16" s="5" t="s">
        <v>26</v>
      </c>
      <c r="F16" s="5" t="s">
        <v>32</v>
      </c>
      <c r="G16" s="13">
        <v>50</v>
      </c>
      <c r="H16" s="9">
        <v>0.05</v>
      </c>
      <c r="I16" s="13">
        <f t="shared" si="1"/>
        <v>2.5</v>
      </c>
      <c r="J16" s="7">
        <f t="shared" si="2"/>
        <v>52.5</v>
      </c>
      <c r="K16" s="5" t="s">
        <v>16</v>
      </c>
      <c r="L16" s="5" t="s">
        <v>17</v>
      </c>
      <c r="M16" s="5" t="str">
        <f>E16&amp;" "&amp;F16&amp;" "&amp;K16&amp;" "&amp;L16</f>
        <v>Kulfi Fruit Base Rainbow Kulfi 42CAV 50ML</v>
      </c>
      <c r="N16" s="5">
        <f>COUNTIF(M:M,M16)</f>
        <v>1</v>
      </c>
    </row>
    <row r="17" spans="1:14" x14ac:dyDescent="0.35">
      <c r="A17" s="4">
        <v>116</v>
      </c>
      <c r="B17" s="5" t="s">
        <v>12</v>
      </c>
      <c r="C17" s="5" t="str">
        <f t="shared" si="0"/>
        <v>K116</v>
      </c>
      <c r="D17" s="4" t="s">
        <v>13</v>
      </c>
      <c r="E17" s="5" t="s">
        <v>33</v>
      </c>
      <c r="F17" s="5" t="s">
        <v>34</v>
      </c>
      <c r="G17" s="13">
        <v>26</v>
      </c>
      <c r="H17" s="9">
        <v>0.05</v>
      </c>
      <c r="I17" s="13">
        <f t="shared" si="1"/>
        <v>1.3</v>
      </c>
      <c r="J17" s="7">
        <f t="shared" si="2"/>
        <v>27.3</v>
      </c>
      <c r="K17" s="5" t="s">
        <v>16</v>
      </c>
      <c r="L17" s="5" t="s">
        <v>17</v>
      </c>
      <c r="M17" s="5" t="str">
        <f>E17&amp;" "&amp;F17&amp;" "&amp;K17&amp;" "&amp;L17</f>
        <v>Kulfi Assorted Rose Gulkanda 42CAV 50ML</v>
      </c>
      <c r="N17" s="5">
        <f>COUNTIF(M:M,M17)</f>
        <v>1</v>
      </c>
    </row>
    <row r="18" spans="1:14" x14ac:dyDescent="0.35">
      <c r="A18" s="4">
        <v>117</v>
      </c>
      <c r="B18" s="5" t="s">
        <v>12</v>
      </c>
      <c r="C18" s="5" t="str">
        <f t="shared" si="0"/>
        <v>K117</v>
      </c>
      <c r="D18" s="4" t="s">
        <v>13</v>
      </c>
      <c r="E18" s="5" t="s">
        <v>33</v>
      </c>
      <c r="F18" s="5" t="s">
        <v>35</v>
      </c>
      <c r="G18" s="13">
        <v>26</v>
      </c>
      <c r="H18" s="9">
        <v>0.05</v>
      </c>
      <c r="I18" s="13">
        <f t="shared" si="1"/>
        <v>1.3</v>
      </c>
      <c r="J18" s="7">
        <f t="shared" si="2"/>
        <v>27.3</v>
      </c>
      <c r="K18" s="5" t="s">
        <v>16</v>
      </c>
      <c r="L18" s="5" t="s">
        <v>17</v>
      </c>
      <c r="M18" s="5" t="str">
        <f>E18&amp;" "&amp;F18&amp;" "&amp;K18&amp;" "&amp;L18</f>
        <v>Kulfi Assorted Calcutta Paan 42CAV 50ML</v>
      </c>
      <c r="N18" s="5">
        <f>COUNTIF(M:M,M18)</f>
        <v>1</v>
      </c>
    </row>
    <row r="19" spans="1:14" x14ac:dyDescent="0.35">
      <c r="A19" s="4">
        <v>118</v>
      </c>
      <c r="B19" s="5" t="s">
        <v>12</v>
      </c>
      <c r="C19" s="5" t="str">
        <f t="shared" si="0"/>
        <v>K118</v>
      </c>
      <c r="D19" s="4" t="s">
        <v>13</v>
      </c>
      <c r="E19" s="5" t="s">
        <v>33</v>
      </c>
      <c r="F19" s="5" t="s">
        <v>36</v>
      </c>
      <c r="G19" s="13">
        <v>26</v>
      </c>
      <c r="H19" s="9">
        <v>0.05</v>
      </c>
      <c r="I19" s="13">
        <f t="shared" si="1"/>
        <v>1.3</v>
      </c>
      <c r="J19" s="7">
        <f t="shared" si="2"/>
        <v>27.3</v>
      </c>
      <c r="K19" s="5" t="s">
        <v>16</v>
      </c>
      <c r="L19" s="5" t="s">
        <v>17</v>
      </c>
      <c r="M19" s="5" t="str">
        <f>E19&amp;" "&amp;F19&amp;" "&amp;K19&amp;" "&amp;L19</f>
        <v>Kulfi Assorted Dry Fruit 42CAV 50ML</v>
      </c>
      <c r="N19" s="5">
        <f>COUNTIF(M:M,M19)</f>
        <v>1</v>
      </c>
    </row>
    <row r="20" spans="1:14" x14ac:dyDescent="0.35">
      <c r="A20" s="4">
        <v>119</v>
      </c>
      <c r="B20" s="5" t="s">
        <v>12</v>
      </c>
      <c r="C20" s="5" t="str">
        <f t="shared" si="0"/>
        <v>K119</v>
      </c>
      <c r="D20" s="4" t="s">
        <v>13</v>
      </c>
      <c r="E20" s="5" t="s">
        <v>33</v>
      </c>
      <c r="F20" s="5" t="s">
        <v>37</v>
      </c>
      <c r="G20" s="13">
        <v>26</v>
      </c>
      <c r="H20" s="9">
        <v>0.05</v>
      </c>
      <c r="I20" s="13">
        <f t="shared" si="1"/>
        <v>1.3</v>
      </c>
      <c r="J20" s="7">
        <f t="shared" si="2"/>
        <v>27.3</v>
      </c>
      <c r="K20" s="5" t="s">
        <v>16</v>
      </c>
      <c r="L20" s="5" t="s">
        <v>17</v>
      </c>
      <c r="M20" s="5" t="str">
        <f>E20&amp;" "&amp;F20&amp;" "&amp;K20&amp;" "&amp;L20</f>
        <v>Kulfi Assorted Rajbhog Kulfi 42CAV 50ML</v>
      </c>
      <c r="N20" s="5">
        <f>COUNTIF(M:M,M20)</f>
        <v>1</v>
      </c>
    </row>
    <row r="21" spans="1:14" x14ac:dyDescent="0.35">
      <c r="A21" s="4">
        <v>120</v>
      </c>
      <c r="B21" s="5" t="s">
        <v>12</v>
      </c>
      <c r="C21" s="5" t="str">
        <f t="shared" si="0"/>
        <v>K120</v>
      </c>
      <c r="D21" s="4" t="s">
        <v>13</v>
      </c>
      <c r="E21" s="5" t="s">
        <v>33</v>
      </c>
      <c r="F21" s="5" t="s">
        <v>21</v>
      </c>
      <c r="G21" s="13">
        <v>30</v>
      </c>
      <c r="H21" s="9">
        <v>0.05</v>
      </c>
      <c r="I21" s="13">
        <f t="shared" si="1"/>
        <v>1.5</v>
      </c>
      <c r="J21" s="7">
        <f t="shared" si="2"/>
        <v>31.5</v>
      </c>
      <c r="K21" s="5" t="s">
        <v>16</v>
      </c>
      <c r="L21" s="5" t="s">
        <v>17</v>
      </c>
      <c r="M21" s="5" t="str">
        <f>E21&amp;" "&amp;F21&amp;" "&amp;K21&amp;" "&amp;L21</f>
        <v>Kulfi Assorted Malai Badam 42CAV 50ML</v>
      </c>
      <c r="N21" s="5">
        <f>COUNTIF(M:M,M21)</f>
        <v>1</v>
      </c>
    </row>
    <row r="22" spans="1:14" x14ac:dyDescent="0.35">
      <c r="A22" s="4">
        <v>121</v>
      </c>
      <c r="B22" s="5" t="s">
        <v>12</v>
      </c>
      <c r="C22" s="5" t="str">
        <f t="shared" si="0"/>
        <v>K121</v>
      </c>
      <c r="D22" s="4" t="s">
        <v>13</v>
      </c>
      <c r="E22" s="5" t="s">
        <v>33</v>
      </c>
      <c r="F22" s="5" t="s">
        <v>20</v>
      </c>
      <c r="G22" s="13">
        <v>30</v>
      </c>
      <c r="H22" s="9">
        <v>0.05</v>
      </c>
      <c r="I22" s="13">
        <f t="shared" si="1"/>
        <v>1.5</v>
      </c>
      <c r="J22" s="7">
        <f t="shared" si="2"/>
        <v>31.5</v>
      </c>
      <c r="K22" s="5" t="s">
        <v>16</v>
      </c>
      <c r="L22" s="5" t="s">
        <v>17</v>
      </c>
      <c r="M22" s="5" t="str">
        <f>E22&amp;" "&amp;F22&amp;" "&amp;K22&amp;" "&amp;L22</f>
        <v>Kulfi Assorted Kesar Pista 42CAV 50ML</v>
      </c>
      <c r="N22" s="5">
        <f>COUNTIF(M:M,M22)</f>
        <v>1</v>
      </c>
    </row>
    <row r="23" spans="1:14" x14ac:dyDescent="0.35">
      <c r="A23" s="4">
        <v>122</v>
      </c>
      <c r="B23" s="5" t="s">
        <v>12</v>
      </c>
      <c r="C23" s="5" t="str">
        <f t="shared" si="0"/>
        <v>K122</v>
      </c>
      <c r="D23" s="4" t="s">
        <v>13</v>
      </c>
      <c r="E23" s="5" t="s">
        <v>33</v>
      </c>
      <c r="F23" s="5" t="s">
        <v>38</v>
      </c>
      <c r="G23" s="13">
        <v>30</v>
      </c>
      <c r="H23" s="9">
        <v>0.05</v>
      </c>
      <c r="I23" s="13">
        <f t="shared" si="1"/>
        <v>1.5</v>
      </c>
      <c r="J23" s="7">
        <f t="shared" si="2"/>
        <v>31.5</v>
      </c>
      <c r="K23" s="5" t="s">
        <v>16</v>
      </c>
      <c r="L23" s="5" t="s">
        <v>17</v>
      </c>
      <c r="M23" s="5" t="str">
        <f>E23&amp;" "&amp;F23&amp;" "&amp;K23&amp;" "&amp;L23</f>
        <v>Kulfi Assorted Kesar Badam Pista 42CAV 50ML</v>
      </c>
      <c r="N23" s="5">
        <f>COUNTIF(M:M,M23)</f>
        <v>1</v>
      </c>
    </row>
    <row r="24" spans="1:14" x14ac:dyDescent="0.35">
      <c r="A24" s="4">
        <v>123</v>
      </c>
      <c r="B24" s="5" t="s">
        <v>12</v>
      </c>
      <c r="C24" s="5" t="str">
        <f t="shared" si="0"/>
        <v>K123</v>
      </c>
      <c r="D24" s="4" t="s">
        <v>13</v>
      </c>
      <c r="E24" s="5" t="s">
        <v>33</v>
      </c>
      <c r="F24" s="5" t="s">
        <v>39</v>
      </c>
      <c r="G24" s="13">
        <v>30</v>
      </c>
      <c r="H24" s="9">
        <v>0.05</v>
      </c>
      <c r="I24" s="13">
        <f t="shared" si="1"/>
        <v>1.5</v>
      </c>
      <c r="J24" s="7">
        <f t="shared" si="2"/>
        <v>31.5</v>
      </c>
      <c r="K24" s="5" t="s">
        <v>16</v>
      </c>
      <c r="L24" s="5" t="s">
        <v>17</v>
      </c>
      <c r="M24" s="5" t="str">
        <f>E24&amp;" "&amp;F24&amp;" "&amp;K24&amp;" "&amp;L24</f>
        <v>Kulfi Assorted Almond Pista 42CAV 50ML</v>
      </c>
      <c r="N24" s="5">
        <f>COUNTIF(M:M,M24)</f>
        <v>1</v>
      </c>
    </row>
    <row r="25" spans="1:14" x14ac:dyDescent="0.35">
      <c r="A25" s="4">
        <v>124</v>
      </c>
      <c r="B25" s="5" t="s">
        <v>12</v>
      </c>
      <c r="C25" s="5" t="str">
        <f t="shared" si="0"/>
        <v>K124</v>
      </c>
      <c r="D25" s="4" t="s">
        <v>13</v>
      </c>
      <c r="E25" s="5" t="s">
        <v>33</v>
      </c>
      <c r="F25" s="5" t="s">
        <v>40</v>
      </c>
      <c r="G25" s="13">
        <v>30</v>
      </c>
      <c r="H25" s="9">
        <v>0.05</v>
      </c>
      <c r="I25" s="13">
        <f t="shared" si="1"/>
        <v>1.5</v>
      </c>
      <c r="J25" s="7">
        <f t="shared" si="2"/>
        <v>31.5</v>
      </c>
      <c r="K25" s="5" t="s">
        <v>16</v>
      </c>
      <c r="L25" s="5" t="s">
        <v>17</v>
      </c>
      <c r="M25" s="5" t="str">
        <f>E25&amp;" "&amp;F25&amp;" "&amp;K25&amp;" "&amp;L25</f>
        <v>Kulfi Assorted Gulab Jamun 42CAV 50ML</v>
      </c>
      <c r="N25" s="5">
        <f>COUNTIF(M:M,M25)</f>
        <v>1</v>
      </c>
    </row>
    <row r="26" spans="1:14" x14ac:dyDescent="0.35">
      <c r="A26" s="4">
        <v>125</v>
      </c>
      <c r="B26" s="5" t="s">
        <v>12</v>
      </c>
      <c r="C26" s="5" t="str">
        <f t="shared" si="0"/>
        <v>K125</v>
      </c>
      <c r="D26" s="4" t="s">
        <v>13</v>
      </c>
      <c r="E26" s="5" t="s">
        <v>33</v>
      </c>
      <c r="F26" s="5" t="s">
        <v>41</v>
      </c>
      <c r="G26" s="13">
        <v>30</v>
      </c>
      <c r="H26" s="9">
        <v>0.05</v>
      </c>
      <c r="I26" s="13">
        <f t="shared" si="1"/>
        <v>1.5</v>
      </c>
      <c r="J26" s="7">
        <f t="shared" si="2"/>
        <v>31.5</v>
      </c>
      <c r="K26" s="5" t="s">
        <v>16</v>
      </c>
      <c r="L26" s="5" t="s">
        <v>17</v>
      </c>
      <c r="M26" s="5" t="str">
        <f>E26&amp;" "&amp;F26&amp;" "&amp;K26&amp;" "&amp;L26</f>
        <v>Kulfi Assorted Basunthi 42CAV 50ML</v>
      </c>
      <c r="N26" s="5">
        <f>COUNTIF(M:M,M26)</f>
        <v>1</v>
      </c>
    </row>
    <row r="27" spans="1:14" x14ac:dyDescent="0.35">
      <c r="A27" s="4">
        <v>126</v>
      </c>
      <c r="B27" s="5" t="s">
        <v>12</v>
      </c>
      <c r="C27" s="5" t="str">
        <f t="shared" si="0"/>
        <v>K126</v>
      </c>
      <c r="D27" s="4" t="s">
        <v>13</v>
      </c>
      <c r="E27" s="5" t="s">
        <v>42</v>
      </c>
      <c r="F27" s="5" t="s">
        <v>43</v>
      </c>
      <c r="G27" s="13">
        <v>32</v>
      </c>
      <c r="H27" s="9">
        <v>0.05</v>
      </c>
      <c r="I27" s="13">
        <f t="shared" si="1"/>
        <v>1.6</v>
      </c>
      <c r="J27" s="7">
        <f t="shared" si="2"/>
        <v>33.6</v>
      </c>
      <c r="K27" s="5" t="s">
        <v>16</v>
      </c>
      <c r="L27" s="5" t="s">
        <v>17</v>
      </c>
      <c r="M27" s="5" t="str">
        <f>E27&amp;" "&amp;F27&amp;" "&amp;K27&amp;" "&amp;L27</f>
        <v>Kulfi CO&amp;CA Brownie Choco 42CAV 50ML</v>
      </c>
      <c r="N27" s="5">
        <f>COUNTIF(M:M,M27)</f>
        <v>1</v>
      </c>
    </row>
    <row r="28" spans="1:14" x14ac:dyDescent="0.35">
      <c r="A28" s="4">
        <v>127</v>
      </c>
      <c r="B28" s="5" t="s">
        <v>12</v>
      </c>
      <c r="C28" s="5" t="str">
        <f t="shared" si="0"/>
        <v>K127</v>
      </c>
      <c r="D28" s="4" t="s">
        <v>13</v>
      </c>
      <c r="E28" s="5" t="s">
        <v>42</v>
      </c>
      <c r="F28" s="5" t="s">
        <v>44</v>
      </c>
      <c r="G28" s="13">
        <v>32</v>
      </c>
      <c r="H28" s="9">
        <v>0.05</v>
      </c>
      <c r="I28" s="13">
        <f t="shared" si="1"/>
        <v>1.6</v>
      </c>
      <c r="J28" s="7">
        <f t="shared" si="2"/>
        <v>33.6</v>
      </c>
      <c r="K28" s="5" t="s">
        <v>16</v>
      </c>
      <c r="L28" s="5" t="s">
        <v>17</v>
      </c>
      <c r="M28" s="5" t="str">
        <f>E28&amp;" "&amp;F28&amp;" "&amp;K28&amp;" "&amp;L28</f>
        <v>Kulfi CO&amp;CA Redvelvet 42CAV 50ML</v>
      </c>
      <c r="N28" s="5">
        <f>COUNTIF(M:M,M28)</f>
        <v>1</v>
      </c>
    </row>
    <row r="29" spans="1:14" x14ac:dyDescent="0.35">
      <c r="A29" s="4">
        <v>128</v>
      </c>
      <c r="B29" s="5" t="s">
        <v>12</v>
      </c>
      <c r="C29" s="5" t="str">
        <f t="shared" si="0"/>
        <v>K128</v>
      </c>
      <c r="D29" s="4" t="s">
        <v>13</v>
      </c>
      <c r="E29" s="5" t="s">
        <v>42</v>
      </c>
      <c r="F29" s="5" t="s">
        <v>45</v>
      </c>
      <c r="G29" s="13">
        <v>32</v>
      </c>
      <c r="H29" s="9">
        <v>0.05</v>
      </c>
      <c r="I29" s="13">
        <f t="shared" si="1"/>
        <v>1.6</v>
      </c>
      <c r="J29" s="7">
        <f t="shared" si="2"/>
        <v>33.6</v>
      </c>
      <c r="K29" s="5" t="s">
        <v>16</v>
      </c>
      <c r="L29" s="5" t="s">
        <v>17</v>
      </c>
      <c r="M29" s="5" t="str">
        <f>E29&amp;" "&amp;F29&amp;" "&amp;K29&amp;" "&amp;L29</f>
        <v>Kulfi CO&amp;CA BlackForest 42CAV 50ML</v>
      </c>
      <c r="N29" s="5">
        <f>COUNTIF(M:M,M29)</f>
        <v>1</v>
      </c>
    </row>
    <row r="30" spans="1:14" x14ac:dyDescent="0.35">
      <c r="A30" s="4">
        <v>129</v>
      </c>
      <c r="B30" s="5" t="s">
        <v>12</v>
      </c>
      <c r="C30" s="5" t="str">
        <f t="shared" si="0"/>
        <v>K129</v>
      </c>
      <c r="D30" s="4" t="s">
        <v>13</v>
      </c>
      <c r="E30" s="5" t="s">
        <v>42</v>
      </c>
      <c r="F30" s="5" t="s">
        <v>46</v>
      </c>
      <c r="G30" s="13">
        <v>32</v>
      </c>
      <c r="H30" s="9">
        <v>0.05</v>
      </c>
      <c r="I30" s="13">
        <f t="shared" si="1"/>
        <v>1.6</v>
      </c>
      <c r="J30" s="7">
        <f t="shared" si="2"/>
        <v>33.6</v>
      </c>
      <c r="K30" s="5" t="s">
        <v>16</v>
      </c>
      <c r="L30" s="5" t="s">
        <v>17</v>
      </c>
      <c r="M30" s="5" t="str">
        <f>E30&amp;" "&amp;F30&amp;" "&amp;K30&amp;" "&amp;L30</f>
        <v>Kulfi CO&amp;CA Cookies 42CAV 50ML</v>
      </c>
      <c r="N30" s="5">
        <f>COUNTIF(M:M,M30)</f>
        <v>1</v>
      </c>
    </row>
    <row r="31" spans="1:14" x14ac:dyDescent="0.35">
      <c r="A31" s="4">
        <v>130</v>
      </c>
      <c r="B31" s="5" t="s">
        <v>12</v>
      </c>
      <c r="C31" s="5" t="str">
        <f t="shared" si="0"/>
        <v>K130</v>
      </c>
      <c r="D31" s="4" t="s">
        <v>13</v>
      </c>
      <c r="E31" s="5" t="s">
        <v>42</v>
      </c>
      <c r="F31" s="5" t="s">
        <v>47</v>
      </c>
      <c r="G31" s="13">
        <v>32</v>
      </c>
      <c r="H31" s="9">
        <v>0.05</v>
      </c>
      <c r="I31" s="13">
        <f t="shared" si="1"/>
        <v>1.6</v>
      </c>
      <c r="J31" s="7">
        <f t="shared" si="2"/>
        <v>33.6</v>
      </c>
      <c r="K31" s="5" t="s">
        <v>16</v>
      </c>
      <c r="L31" s="5" t="s">
        <v>17</v>
      </c>
      <c r="M31" s="5" t="str">
        <f>E31&amp;" "&amp;F31&amp;" "&amp;K31&amp;" "&amp;L31</f>
        <v>Kulfi CO&amp;CA Oreo Vanilla 42CAV 50ML</v>
      </c>
      <c r="N31" s="5">
        <f>COUNTIF(M:M,M31)</f>
        <v>1</v>
      </c>
    </row>
    <row r="32" spans="1:14" x14ac:dyDescent="0.35">
      <c r="A32" s="4">
        <v>131</v>
      </c>
      <c r="B32" s="5" t="s">
        <v>12</v>
      </c>
      <c r="C32" s="5" t="str">
        <f t="shared" si="0"/>
        <v>K131</v>
      </c>
      <c r="D32" s="4" t="s">
        <v>13</v>
      </c>
      <c r="E32" s="5" t="s">
        <v>42</v>
      </c>
      <c r="F32" s="5" t="s">
        <v>48</v>
      </c>
      <c r="G32" s="13">
        <v>42</v>
      </c>
      <c r="H32" s="9">
        <v>0.05</v>
      </c>
      <c r="I32" s="13">
        <f t="shared" si="1"/>
        <v>2.1</v>
      </c>
      <c r="J32" s="7">
        <f t="shared" si="2"/>
        <v>44.1</v>
      </c>
      <c r="K32" s="5" t="s">
        <v>16</v>
      </c>
      <c r="L32" s="5" t="s">
        <v>17</v>
      </c>
      <c r="M32" s="5" t="str">
        <f>E32&amp;" "&amp;F32&amp;" "&amp;K32&amp;" "&amp;L32</f>
        <v>Kulfi CO&amp;CA Biscoff 42CAV 50ML</v>
      </c>
      <c r="N32" s="5">
        <f>COUNTIF(M:M,M32)</f>
        <v>1</v>
      </c>
    </row>
    <row r="33" spans="1:14" x14ac:dyDescent="0.35">
      <c r="A33" s="4">
        <v>132</v>
      </c>
      <c r="B33" s="5" t="s">
        <v>12</v>
      </c>
      <c r="C33" s="5" t="str">
        <f t="shared" si="0"/>
        <v>K132</v>
      </c>
      <c r="D33" s="4" t="s">
        <v>13</v>
      </c>
      <c r="E33" s="5" t="s">
        <v>49</v>
      </c>
      <c r="F33" s="5" t="s">
        <v>50</v>
      </c>
      <c r="G33" s="13">
        <v>26</v>
      </c>
      <c r="H33" s="9">
        <v>0.05</v>
      </c>
      <c r="I33" s="13">
        <f t="shared" si="1"/>
        <v>1.3</v>
      </c>
      <c r="J33" s="7">
        <f t="shared" si="2"/>
        <v>27.3</v>
      </c>
      <c r="K33" s="5" t="s">
        <v>16</v>
      </c>
      <c r="L33" s="5" t="s">
        <v>17</v>
      </c>
      <c r="M33" s="5" t="str">
        <f>E33&amp;" "&amp;F33&amp;" "&amp;K33&amp;" "&amp;L33</f>
        <v>Kulfi Duet Malai Choco 42CAV 50ML</v>
      </c>
      <c r="N33" s="5">
        <f>COUNTIF(M:M,M33)</f>
        <v>1</v>
      </c>
    </row>
    <row r="34" spans="1:14" x14ac:dyDescent="0.35">
      <c r="A34" s="4">
        <v>133</v>
      </c>
      <c r="B34" s="5" t="s">
        <v>12</v>
      </c>
      <c r="C34" s="5" t="str">
        <f t="shared" si="0"/>
        <v>K133</v>
      </c>
      <c r="D34" s="4" t="s">
        <v>13</v>
      </c>
      <c r="E34" s="5" t="s">
        <v>49</v>
      </c>
      <c r="F34" s="5" t="s">
        <v>51</v>
      </c>
      <c r="G34" s="13">
        <v>26</v>
      </c>
      <c r="H34" s="9">
        <v>0.05</v>
      </c>
      <c r="I34" s="13">
        <f t="shared" si="1"/>
        <v>1.3</v>
      </c>
      <c r="J34" s="7">
        <f t="shared" si="2"/>
        <v>27.3</v>
      </c>
      <c r="K34" s="5" t="s">
        <v>16</v>
      </c>
      <c r="L34" s="5" t="s">
        <v>17</v>
      </c>
      <c r="M34" s="5" t="str">
        <f>E34&amp;" "&amp;F34&amp;" "&amp;K34&amp;" "&amp;L34</f>
        <v>Kulfi Duet Malai Pista 42CAV 50ML</v>
      </c>
      <c r="N34" s="5">
        <f>COUNTIF(M:M,M34)</f>
        <v>1</v>
      </c>
    </row>
    <row r="35" spans="1:14" x14ac:dyDescent="0.35">
      <c r="A35" s="4">
        <v>134</v>
      </c>
      <c r="B35" s="5" t="s">
        <v>12</v>
      </c>
      <c r="C35" s="5" t="str">
        <f t="shared" si="0"/>
        <v>K134</v>
      </c>
      <c r="D35" s="4" t="s">
        <v>13</v>
      </c>
      <c r="E35" s="5" t="s">
        <v>52</v>
      </c>
      <c r="F35" s="5" t="s">
        <v>27</v>
      </c>
      <c r="G35" s="13">
        <v>26</v>
      </c>
      <c r="H35" s="9">
        <v>0.05</v>
      </c>
      <c r="I35" s="13">
        <f t="shared" si="1"/>
        <v>1.3</v>
      </c>
      <c r="J35" s="7">
        <f t="shared" si="2"/>
        <v>27.3</v>
      </c>
      <c r="K35" s="5" t="s">
        <v>16</v>
      </c>
      <c r="L35" s="5" t="s">
        <v>17</v>
      </c>
      <c r="M35" s="5" t="str">
        <f>E35&amp;" "&amp;F35&amp;" "&amp;K35&amp;" "&amp;L35</f>
        <v>Natural Ice Cream Sticks Alphonso Mango 42CAV 50ML</v>
      </c>
      <c r="N35" s="5">
        <f>COUNTIF(M:M,M35)</f>
        <v>1</v>
      </c>
    </row>
    <row r="36" spans="1:14" x14ac:dyDescent="0.35">
      <c r="A36" s="4">
        <v>135</v>
      </c>
      <c r="B36" s="5" t="s">
        <v>12</v>
      </c>
      <c r="C36" s="5" t="str">
        <f t="shared" si="0"/>
        <v>K135</v>
      </c>
      <c r="D36" s="4" t="s">
        <v>13</v>
      </c>
      <c r="E36" s="5" t="s">
        <v>52</v>
      </c>
      <c r="F36" s="5" t="s">
        <v>53</v>
      </c>
      <c r="G36" s="13">
        <v>26</v>
      </c>
      <c r="H36" s="9">
        <v>0.05</v>
      </c>
      <c r="I36" s="13">
        <f t="shared" si="1"/>
        <v>1.3</v>
      </c>
      <c r="J36" s="7">
        <f t="shared" si="2"/>
        <v>27.3</v>
      </c>
      <c r="K36" s="5" t="s">
        <v>16</v>
      </c>
      <c r="L36" s="5" t="s">
        <v>17</v>
      </c>
      <c r="M36" s="5" t="str">
        <f>E36&amp;" "&amp;F36&amp;" "&amp;K36&amp;" "&amp;L36</f>
        <v>Natural Ice Cream Sticks Berry Blast 42CAV 50ML</v>
      </c>
      <c r="N36" s="5">
        <f>COUNTIF(M:M,M36)</f>
        <v>1</v>
      </c>
    </row>
    <row r="37" spans="1:14" x14ac:dyDescent="0.35">
      <c r="A37" s="4">
        <v>136</v>
      </c>
      <c r="B37" s="5" t="s">
        <v>12</v>
      </c>
      <c r="C37" s="5" t="str">
        <f t="shared" si="0"/>
        <v>K136</v>
      </c>
      <c r="D37" s="4" t="s">
        <v>13</v>
      </c>
      <c r="E37" s="5" t="s">
        <v>52</v>
      </c>
      <c r="F37" s="5" t="s">
        <v>28</v>
      </c>
      <c r="G37" s="13">
        <v>26</v>
      </c>
      <c r="H37" s="9">
        <v>0.05</v>
      </c>
      <c r="I37" s="13">
        <f t="shared" si="1"/>
        <v>1.3</v>
      </c>
      <c r="J37" s="7">
        <f t="shared" si="2"/>
        <v>27.3</v>
      </c>
      <c r="K37" s="5" t="s">
        <v>16</v>
      </c>
      <c r="L37" s="5" t="s">
        <v>17</v>
      </c>
      <c r="M37" s="5" t="str">
        <f>E37&amp;" "&amp;F37&amp;" "&amp;K37&amp;" "&amp;L37</f>
        <v>Natural Ice Cream Sticks Blueberry 42CAV 50ML</v>
      </c>
      <c r="N37" s="5">
        <f>COUNTIF(M:M,M37)</f>
        <v>1</v>
      </c>
    </row>
    <row r="38" spans="1:14" x14ac:dyDescent="0.35">
      <c r="A38" s="4">
        <v>137</v>
      </c>
      <c r="B38" s="5" t="s">
        <v>12</v>
      </c>
      <c r="C38" s="5" t="str">
        <f t="shared" si="0"/>
        <v>K137</v>
      </c>
      <c r="D38" s="4" t="s">
        <v>13</v>
      </c>
      <c r="E38" s="5" t="s">
        <v>52</v>
      </c>
      <c r="F38" s="5" t="s">
        <v>54</v>
      </c>
      <c r="G38" s="13">
        <v>26</v>
      </c>
      <c r="H38" s="9">
        <v>0.05</v>
      </c>
      <c r="I38" s="13">
        <f t="shared" si="1"/>
        <v>1.3</v>
      </c>
      <c r="J38" s="7">
        <f t="shared" si="2"/>
        <v>27.3</v>
      </c>
      <c r="K38" s="5" t="s">
        <v>16</v>
      </c>
      <c r="L38" s="5" t="s">
        <v>17</v>
      </c>
      <c r="M38" s="5" t="str">
        <f>E38&amp;" "&amp;F38&amp;" "&amp;K38&amp;" "&amp;L38</f>
        <v>Natural Ice Cream Sticks Chickoo 42CAV 50ML</v>
      </c>
      <c r="N38" s="5">
        <f>COUNTIF(M:M,M38)</f>
        <v>1</v>
      </c>
    </row>
    <row r="39" spans="1:14" x14ac:dyDescent="0.35">
      <c r="A39" s="4">
        <v>138</v>
      </c>
      <c r="B39" s="5" t="s">
        <v>12</v>
      </c>
      <c r="C39" s="5" t="str">
        <f t="shared" si="0"/>
        <v>K138</v>
      </c>
      <c r="D39" s="4" t="s">
        <v>13</v>
      </c>
      <c r="E39" s="5" t="s">
        <v>52</v>
      </c>
      <c r="F39" s="5" t="s">
        <v>55</v>
      </c>
      <c r="G39" s="13">
        <v>26</v>
      </c>
      <c r="H39" s="9">
        <v>0.05</v>
      </c>
      <c r="I39" s="13">
        <f t="shared" si="1"/>
        <v>1.3</v>
      </c>
      <c r="J39" s="7">
        <f t="shared" si="2"/>
        <v>27.3</v>
      </c>
      <c r="K39" s="5" t="s">
        <v>16</v>
      </c>
      <c r="L39" s="5" t="s">
        <v>17</v>
      </c>
      <c r="M39" s="5" t="str">
        <f>E39&amp;" "&amp;F39&amp;" "&amp;K39&amp;" "&amp;L39</f>
        <v>Natural Ice Cream Sticks JackFruit 42CAV 50ML</v>
      </c>
      <c r="N39" s="5">
        <f>COUNTIF(M:M,M39)</f>
        <v>1</v>
      </c>
    </row>
    <row r="40" spans="1:14" x14ac:dyDescent="0.35">
      <c r="A40" s="4">
        <v>139</v>
      </c>
      <c r="B40" s="5" t="s">
        <v>12</v>
      </c>
      <c r="C40" s="5" t="str">
        <f t="shared" si="0"/>
        <v>K139</v>
      </c>
      <c r="D40" s="4" t="s">
        <v>13</v>
      </c>
      <c r="E40" s="5" t="s">
        <v>52</v>
      </c>
      <c r="F40" s="5" t="s">
        <v>56</v>
      </c>
      <c r="G40" s="13">
        <v>26</v>
      </c>
      <c r="H40" s="9">
        <v>0.05</v>
      </c>
      <c r="I40" s="13">
        <f t="shared" si="1"/>
        <v>1.3</v>
      </c>
      <c r="J40" s="7">
        <f t="shared" si="2"/>
        <v>27.3</v>
      </c>
      <c r="K40" s="5" t="s">
        <v>16</v>
      </c>
      <c r="L40" s="5" t="s">
        <v>17</v>
      </c>
      <c r="M40" s="5" t="str">
        <f>E40&amp;" "&amp;F40&amp;" "&amp;K40&amp;" "&amp;L40</f>
        <v>Natural Ice Cream Sticks Litchi 42CAV 50ML</v>
      </c>
      <c r="N40" s="5">
        <f>COUNTIF(M:M,M40)</f>
        <v>1</v>
      </c>
    </row>
    <row r="41" spans="1:14" x14ac:dyDescent="0.35">
      <c r="A41" s="4">
        <v>140</v>
      </c>
      <c r="B41" s="5" t="s">
        <v>12</v>
      </c>
      <c r="C41" s="5" t="str">
        <f t="shared" si="0"/>
        <v>K140</v>
      </c>
      <c r="D41" s="4" t="s">
        <v>13</v>
      </c>
      <c r="E41" s="5" t="s">
        <v>52</v>
      </c>
      <c r="F41" s="5" t="s">
        <v>57</v>
      </c>
      <c r="G41" s="13">
        <v>26</v>
      </c>
      <c r="H41" s="9">
        <v>0.05</v>
      </c>
      <c r="I41" s="13">
        <f t="shared" si="1"/>
        <v>1.3</v>
      </c>
      <c r="J41" s="7">
        <f t="shared" si="2"/>
        <v>27.3</v>
      </c>
      <c r="K41" s="5" t="s">
        <v>16</v>
      </c>
      <c r="L41" s="5" t="s">
        <v>17</v>
      </c>
      <c r="M41" s="5" t="str">
        <f>E41&amp;" "&amp;F41&amp;" "&amp;K41&amp;" "&amp;L41</f>
        <v>Natural Ice Cream Sticks Mango 42CAV 50ML</v>
      </c>
      <c r="N41" s="5">
        <f>COUNTIF(M:M,M41)</f>
        <v>1</v>
      </c>
    </row>
    <row r="42" spans="1:14" x14ac:dyDescent="0.35">
      <c r="A42" s="4">
        <v>141</v>
      </c>
      <c r="B42" s="5" t="s">
        <v>12</v>
      </c>
      <c r="C42" s="5" t="str">
        <f t="shared" si="0"/>
        <v>K141</v>
      </c>
      <c r="D42" s="4" t="s">
        <v>13</v>
      </c>
      <c r="E42" s="5" t="s">
        <v>52</v>
      </c>
      <c r="F42" s="5" t="s">
        <v>58</v>
      </c>
      <c r="G42" s="13">
        <v>26</v>
      </c>
      <c r="H42" s="9">
        <v>0.05</v>
      </c>
      <c r="I42" s="13">
        <f t="shared" si="1"/>
        <v>1.3</v>
      </c>
      <c r="J42" s="7">
        <f t="shared" si="2"/>
        <v>27.3</v>
      </c>
      <c r="K42" s="5" t="s">
        <v>16</v>
      </c>
      <c r="L42" s="5" t="s">
        <v>17</v>
      </c>
      <c r="M42" s="5" t="str">
        <f>E42&amp;" "&amp;F42&amp;" "&amp;K42&amp;" "&amp;L42</f>
        <v>Natural Ice Cream Sticks Mixed Berry 42CAV 50ML</v>
      </c>
      <c r="N42" s="5">
        <f>COUNTIF(M:M,M42)</f>
        <v>1</v>
      </c>
    </row>
    <row r="43" spans="1:14" x14ac:dyDescent="0.35">
      <c r="A43" s="4">
        <v>142</v>
      </c>
      <c r="B43" s="5" t="s">
        <v>12</v>
      </c>
      <c r="C43" s="5" t="str">
        <f t="shared" si="0"/>
        <v>K142</v>
      </c>
      <c r="D43" s="4" t="s">
        <v>13</v>
      </c>
      <c r="E43" s="5" t="s">
        <v>52</v>
      </c>
      <c r="F43" s="5" t="s">
        <v>59</v>
      </c>
      <c r="G43" s="13">
        <v>26</v>
      </c>
      <c r="H43" s="9">
        <v>0.05</v>
      </c>
      <c r="I43" s="13">
        <f t="shared" si="1"/>
        <v>1.3</v>
      </c>
      <c r="J43" s="7">
        <f t="shared" si="2"/>
        <v>27.3</v>
      </c>
      <c r="K43" s="5" t="s">
        <v>16</v>
      </c>
      <c r="L43" s="5" t="s">
        <v>17</v>
      </c>
      <c r="M43" s="5" t="str">
        <f>E43&amp;" "&amp;F43&amp;" "&amp;K43&amp;" "&amp;L43</f>
        <v>Natural Ice Cream Sticks Rasberry 42CAV 50ML</v>
      </c>
      <c r="N43" s="5">
        <f>COUNTIF(M:M,M43)</f>
        <v>1</v>
      </c>
    </row>
    <row r="44" spans="1:14" x14ac:dyDescent="0.35">
      <c r="A44" s="4">
        <v>143</v>
      </c>
      <c r="B44" s="5" t="s">
        <v>12</v>
      </c>
      <c r="C44" s="5" t="str">
        <f t="shared" si="0"/>
        <v>K143</v>
      </c>
      <c r="D44" s="4" t="s">
        <v>13</v>
      </c>
      <c r="E44" s="5" t="s">
        <v>52</v>
      </c>
      <c r="F44" s="5" t="s">
        <v>60</v>
      </c>
      <c r="G44" s="13">
        <v>26</v>
      </c>
      <c r="H44" s="9">
        <v>0.05</v>
      </c>
      <c r="I44" s="13">
        <f t="shared" si="1"/>
        <v>1.3</v>
      </c>
      <c r="J44" s="7">
        <f t="shared" si="2"/>
        <v>27.3</v>
      </c>
      <c r="K44" s="5" t="s">
        <v>16</v>
      </c>
      <c r="L44" s="5" t="s">
        <v>17</v>
      </c>
      <c r="M44" s="5" t="str">
        <f>E44&amp;" "&amp;F44&amp;" "&amp;K44&amp;" "&amp;L44</f>
        <v>Natural Ice Cream Sticks Strawberry Fruit 42CAV 50ML</v>
      </c>
      <c r="N44" s="5">
        <f>COUNTIF(M:M,M44)</f>
        <v>1</v>
      </c>
    </row>
    <row r="45" spans="1:14" x14ac:dyDescent="0.35">
      <c r="A45" s="4">
        <v>144</v>
      </c>
      <c r="B45" s="5" t="s">
        <v>12</v>
      </c>
      <c r="C45" s="5" t="str">
        <f t="shared" si="0"/>
        <v>K144</v>
      </c>
      <c r="D45" s="4" t="s">
        <v>13</v>
      </c>
      <c r="E45" s="5" t="s">
        <v>52</v>
      </c>
      <c r="F45" s="5" t="s">
        <v>61</v>
      </c>
      <c r="G45" s="13">
        <v>26</v>
      </c>
      <c r="H45" s="9">
        <v>0.05</v>
      </c>
      <c r="I45" s="13">
        <f t="shared" si="1"/>
        <v>1.3</v>
      </c>
      <c r="J45" s="7">
        <f t="shared" si="2"/>
        <v>27.3</v>
      </c>
      <c r="K45" s="5" t="s">
        <v>16</v>
      </c>
      <c r="L45" s="5" t="s">
        <v>17</v>
      </c>
      <c r="M45" s="5" t="str">
        <f>E45&amp;" "&amp;F45&amp;" "&amp;K45&amp;" "&amp;L45</f>
        <v>Natural Ice Cream Sticks Tender Coconut 42CAV 50ML</v>
      </c>
      <c r="N45" s="5">
        <f>COUNTIF(M:M,M45)</f>
        <v>1</v>
      </c>
    </row>
    <row r="46" spans="1:14" x14ac:dyDescent="0.35">
      <c r="A46" s="4">
        <v>145</v>
      </c>
      <c r="B46" s="5" t="s">
        <v>12</v>
      </c>
      <c r="C46" s="5" t="str">
        <f t="shared" si="0"/>
        <v>K145</v>
      </c>
      <c r="D46" s="4" t="s">
        <v>13</v>
      </c>
      <c r="E46" s="5" t="s">
        <v>52</v>
      </c>
      <c r="F46" s="5" t="s">
        <v>62</v>
      </c>
      <c r="G46" s="13">
        <v>26</v>
      </c>
      <c r="H46" s="9">
        <v>0.05</v>
      </c>
      <c r="I46" s="13">
        <f t="shared" si="1"/>
        <v>1.3</v>
      </c>
      <c r="J46" s="7">
        <f t="shared" si="2"/>
        <v>27.3</v>
      </c>
      <c r="K46" s="5" t="s">
        <v>16</v>
      </c>
      <c r="L46" s="5" t="s">
        <v>17</v>
      </c>
      <c r="M46" s="5" t="str">
        <f>E46&amp;" "&amp;F46&amp;" "&amp;K46&amp;" "&amp;L46</f>
        <v>Natural Ice Cream Sticks Jamun 42CAV 50ML</v>
      </c>
      <c r="N46" s="5">
        <f>COUNTIF(M:M,M46)</f>
        <v>1</v>
      </c>
    </row>
    <row r="47" spans="1:14" x14ac:dyDescent="0.35">
      <c r="A47" s="4">
        <v>156</v>
      </c>
      <c r="B47" s="5" t="s">
        <v>12</v>
      </c>
      <c r="C47" s="5" t="str">
        <f t="shared" si="0"/>
        <v>K156</v>
      </c>
      <c r="D47" s="4" t="s">
        <v>63</v>
      </c>
      <c r="E47" s="5" t="s">
        <v>64</v>
      </c>
      <c r="F47" s="5" t="s">
        <v>65</v>
      </c>
      <c r="G47" s="13">
        <v>35</v>
      </c>
      <c r="H47" s="9">
        <v>0.05</v>
      </c>
      <c r="I47" s="13">
        <f t="shared" si="1"/>
        <v>1.75</v>
      </c>
      <c r="J47" s="7">
        <f t="shared" si="2"/>
        <v>36.75</v>
      </c>
      <c r="K47" s="5" t="s">
        <v>16</v>
      </c>
      <c r="L47" s="5" t="s">
        <v>17</v>
      </c>
      <c r="M47" s="5" t="str">
        <f>E47&amp;" "&amp;F47&amp;" "&amp;K47&amp;" "&amp;L47</f>
        <v>Choco Bar Fruit &amp; Nut Choco Bar 42CAV 50ML</v>
      </c>
      <c r="N47" s="5">
        <f>COUNTIF(M:M,M47)</f>
        <v>1</v>
      </c>
    </row>
    <row r="48" spans="1:14" x14ac:dyDescent="0.35">
      <c r="A48" s="4">
        <v>157</v>
      </c>
      <c r="B48" s="5" t="s">
        <v>12</v>
      </c>
      <c r="C48" s="5" t="str">
        <f t="shared" si="0"/>
        <v>K157</v>
      </c>
      <c r="D48" s="4" t="s">
        <v>63</v>
      </c>
      <c r="E48" s="5" t="s">
        <v>64</v>
      </c>
      <c r="F48" s="5" t="s">
        <v>66</v>
      </c>
      <c r="G48" s="13">
        <v>35</v>
      </c>
      <c r="H48" s="9">
        <v>0.05</v>
      </c>
      <c r="I48" s="13">
        <f t="shared" si="1"/>
        <v>1.75</v>
      </c>
      <c r="J48" s="7">
        <f t="shared" si="2"/>
        <v>36.75</v>
      </c>
      <c r="K48" s="5" t="s">
        <v>16</v>
      </c>
      <c r="L48" s="5" t="s">
        <v>17</v>
      </c>
      <c r="M48" s="5" t="str">
        <f>E48&amp;" "&amp;F48&amp;" "&amp;K48&amp;" "&amp;L48</f>
        <v>Choco Bar Kulfi Choco Bar 42CAV 50ML</v>
      </c>
      <c r="N48" s="5">
        <f>COUNTIF(M:M,M48)</f>
        <v>1</v>
      </c>
    </row>
    <row r="49" spans="1:14" x14ac:dyDescent="0.35">
      <c r="A49" s="4">
        <v>158</v>
      </c>
      <c r="B49" s="5" t="s">
        <v>12</v>
      </c>
      <c r="C49" s="5" t="str">
        <f t="shared" si="0"/>
        <v>K158</v>
      </c>
      <c r="D49" s="4" t="s">
        <v>63</v>
      </c>
      <c r="E49" s="5" t="s">
        <v>64</v>
      </c>
      <c r="F49" s="5" t="s">
        <v>67</v>
      </c>
      <c r="G49" s="13">
        <v>35</v>
      </c>
      <c r="H49" s="9">
        <v>0.05</v>
      </c>
      <c r="I49" s="13">
        <f t="shared" si="1"/>
        <v>1.75</v>
      </c>
      <c r="J49" s="7">
        <f t="shared" si="2"/>
        <v>36.75</v>
      </c>
      <c r="K49" s="5" t="s">
        <v>16</v>
      </c>
      <c r="L49" s="5" t="s">
        <v>17</v>
      </c>
      <c r="M49" s="5" t="str">
        <f>E49&amp;" "&amp;F49&amp;" "&amp;K49&amp;" "&amp;L49</f>
        <v>Choco Bar Nutty Choco Bar 42CAV 50ML</v>
      </c>
      <c r="N49" s="5">
        <f>COUNTIF(M:M,M49)</f>
        <v>1</v>
      </c>
    </row>
    <row r="50" spans="1:14" x14ac:dyDescent="0.35">
      <c r="A50" s="4">
        <v>159</v>
      </c>
      <c r="B50" s="5" t="s">
        <v>12</v>
      </c>
      <c r="C50" s="5" t="str">
        <f t="shared" si="0"/>
        <v>K159</v>
      </c>
      <c r="D50" s="4" t="s">
        <v>63</v>
      </c>
      <c r="E50" s="5" t="s">
        <v>64</v>
      </c>
      <c r="F50" s="5" t="s">
        <v>68</v>
      </c>
      <c r="G50" s="13">
        <v>35</v>
      </c>
      <c r="H50" s="9">
        <v>0.05</v>
      </c>
      <c r="I50" s="13">
        <f t="shared" si="1"/>
        <v>1.75</v>
      </c>
      <c r="J50" s="7">
        <f t="shared" si="2"/>
        <v>36.75</v>
      </c>
      <c r="K50" s="5" t="s">
        <v>16</v>
      </c>
      <c r="L50" s="5" t="s">
        <v>17</v>
      </c>
      <c r="M50" s="5" t="str">
        <f>E50&amp;" "&amp;F50&amp;" "&amp;K50&amp;" "&amp;L50</f>
        <v>Choco Bar Vanilla Choco Bar 42CAV 50ML</v>
      </c>
      <c r="N50" s="5">
        <f>COUNTIF(M:M,M50)</f>
        <v>1</v>
      </c>
    </row>
    <row r="51" spans="1:14" x14ac:dyDescent="0.35">
      <c r="A51" s="4">
        <v>101</v>
      </c>
      <c r="B51" s="5" t="s">
        <v>69</v>
      </c>
      <c r="C51" s="5" t="str">
        <f t="shared" si="0"/>
        <v>M101</v>
      </c>
      <c r="D51" s="4" t="s">
        <v>70</v>
      </c>
      <c r="E51" s="5" t="s">
        <v>70</v>
      </c>
      <c r="F51" s="5" t="s">
        <v>71</v>
      </c>
      <c r="G51" s="13">
        <v>53</v>
      </c>
      <c r="H51" s="9">
        <v>0.05</v>
      </c>
      <c r="I51" s="13">
        <f t="shared" si="1"/>
        <v>2.6500000000000004</v>
      </c>
      <c r="J51" s="7">
        <f t="shared" si="2"/>
        <v>55.65</v>
      </c>
      <c r="K51" s="5" t="s">
        <v>72</v>
      </c>
      <c r="L51" s="5" t="s">
        <v>73</v>
      </c>
      <c r="M51" s="5" t="str">
        <f>E51&amp;" "&amp;F51&amp;" "&amp;K51&amp;" "&amp;L51</f>
        <v>Matka Malai 1NO 100ML</v>
      </c>
      <c r="N51" s="5">
        <f>COUNTIF(M:M,M51)</f>
        <v>1</v>
      </c>
    </row>
    <row r="52" spans="1:14" x14ac:dyDescent="0.35">
      <c r="A52" s="4">
        <v>102</v>
      </c>
      <c r="B52" s="5" t="s">
        <v>69</v>
      </c>
      <c r="C52" s="5" t="str">
        <f t="shared" si="0"/>
        <v>M102</v>
      </c>
      <c r="D52" s="4" t="s">
        <v>70</v>
      </c>
      <c r="E52" s="5" t="s">
        <v>70</v>
      </c>
      <c r="F52" s="5" t="s">
        <v>20</v>
      </c>
      <c r="G52" s="13">
        <v>55</v>
      </c>
      <c r="H52" s="9">
        <v>0.05</v>
      </c>
      <c r="I52" s="13">
        <f t="shared" si="1"/>
        <v>2.75</v>
      </c>
      <c r="J52" s="7">
        <f t="shared" si="2"/>
        <v>57.75</v>
      </c>
      <c r="K52" s="5" t="s">
        <v>72</v>
      </c>
      <c r="L52" s="5" t="s">
        <v>73</v>
      </c>
      <c r="M52" s="5" t="str">
        <f>E52&amp;" "&amp;F52&amp;" "&amp;K52&amp;" "&amp;L52</f>
        <v>Matka Kesar Pista 1NO 100ML</v>
      </c>
      <c r="N52" s="5">
        <f>COUNTIF(M:M,M52)</f>
        <v>1</v>
      </c>
    </row>
    <row r="53" spans="1:14" x14ac:dyDescent="0.35">
      <c r="A53" s="4">
        <v>103</v>
      </c>
      <c r="B53" s="5" t="s">
        <v>69</v>
      </c>
      <c r="C53" s="5" t="str">
        <f t="shared" si="0"/>
        <v>M103</v>
      </c>
      <c r="D53" s="4" t="s">
        <v>70</v>
      </c>
      <c r="E53" s="5" t="s">
        <v>70</v>
      </c>
      <c r="F53" s="5" t="s">
        <v>27</v>
      </c>
      <c r="G53" s="13">
        <v>55</v>
      </c>
      <c r="H53" s="9">
        <v>0.05</v>
      </c>
      <c r="I53" s="13">
        <f t="shared" si="1"/>
        <v>2.75</v>
      </c>
      <c r="J53" s="7">
        <f t="shared" si="2"/>
        <v>57.75</v>
      </c>
      <c r="K53" s="5" t="s">
        <v>72</v>
      </c>
      <c r="L53" s="5" t="s">
        <v>73</v>
      </c>
      <c r="M53" s="5" t="str">
        <f>E53&amp;" "&amp;F53&amp;" "&amp;K53&amp;" "&amp;L53</f>
        <v>Matka Alphonso Mango 1NO 100ML</v>
      </c>
      <c r="N53" s="5">
        <f>COUNTIF(M:M,M53)</f>
        <v>1</v>
      </c>
    </row>
    <row r="54" spans="1:14" x14ac:dyDescent="0.35">
      <c r="A54" s="4">
        <v>104</v>
      </c>
      <c r="B54" s="5" t="s">
        <v>69</v>
      </c>
      <c r="C54" s="5" t="str">
        <f t="shared" si="0"/>
        <v>M104</v>
      </c>
      <c r="D54" s="4" t="s">
        <v>70</v>
      </c>
      <c r="E54" s="5" t="s">
        <v>70</v>
      </c>
      <c r="F54" s="5" t="s">
        <v>22</v>
      </c>
      <c r="G54" s="13">
        <v>55</v>
      </c>
      <c r="H54" s="9">
        <v>0.05</v>
      </c>
      <c r="I54" s="13">
        <f t="shared" si="1"/>
        <v>2.75</v>
      </c>
      <c r="J54" s="7">
        <f t="shared" si="2"/>
        <v>57.75</v>
      </c>
      <c r="K54" s="5" t="s">
        <v>72</v>
      </c>
      <c r="L54" s="5" t="s">
        <v>73</v>
      </c>
      <c r="M54" s="5" t="str">
        <f>E54&amp;" "&amp;F54&amp;" "&amp;K54&amp;" "&amp;L54</f>
        <v>Matka Chocolate 1NO 100ML</v>
      </c>
      <c r="N54" s="5">
        <f>COUNTIF(M:M,M54)</f>
        <v>1</v>
      </c>
    </row>
    <row r="55" spans="1:14" x14ac:dyDescent="0.35">
      <c r="A55" s="4">
        <v>105</v>
      </c>
      <c r="B55" s="5" t="s">
        <v>69</v>
      </c>
      <c r="C55" s="5" t="str">
        <f t="shared" si="0"/>
        <v>M105</v>
      </c>
      <c r="D55" s="4" t="s">
        <v>70</v>
      </c>
      <c r="E55" s="5" t="s">
        <v>70</v>
      </c>
      <c r="F55" s="5" t="s">
        <v>74</v>
      </c>
      <c r="G55" s="13">
        <v>55</v>
      </c>
      <c r="H55" s="9">
        <v>0.05</v>
      </c>
      <c r="I55" s="13">
        <f t="shared" si="1"/>
        <v>2.75</v>
      </c>
      <c r="J55" s="7">
        <f t="shared" si="2"/>
        <v>57.75</v>
      </c>
      <c r="K55" s="5" t="s">
        <v>72</v>
      </c>
      <c r="L55" s="5" t="s">
        <v>73</v>
      </c>
      <c r="M55" s="5" t="str">
        <f>E55&amp;" "&amp;F55&amp;" "&amp;K55&amp;" "&amp;L55</f>
        <v>Matka Badam Pista 1NO 100ML</v>
      </c>
      <c r="N55" s="5">
        <f>COUNTIF(M:M,M55)</f>
        <v>1</v>
      </c>
    </row>
    <row r="56" spans="1:14" x14ac:dyDescent="0.35">
      <c r="A56" s="4">
        <v>106</v>
      </c>
      <c r="B56" s="5" t="s">
        <v>69</v>
      </c>
      <c r="C56" s="5" t="str">
        <f t="shared" si="0"/>
        <v>M106</v>
      </c>
      <c r="D56" s="4" t="s">
        <v>70</v>
      </c>
      <c r="E56" s="5" t="s">
        <v>70</v>
      </c>
      <c r="F56" s="5" t="s">
        <v>29</v>
      </c>
      <c r="G56" s="13">
        <v>55</v>
      </c>
      <c r="H56" s="9">
        <v>0.05</v>
      </c>
      <c r="I56" s="13">
        <f t="shared" si="1"/>
        <v>2.75</v>
      </c>
      <c r="J56" s="7">
        <f t="shared" si="2"/>
        <v>57.75</v>
      </c>
      <c r="K56" s="5" t="s">
        <v>72</v>
      </c>
      <c r="L56" s="5" t="s">
        <v>73</v>
      </c>
      <c r="M56" s="5" t="str">
        <f>E56&amp;" "&amp;F56&amp;" "&amp;K56&amp;" "&amp;L56</f>
        <v>Matka Strawberry 1NO 100ML</v>
      </c>
      <c r="N56" s="5">
        <f>COUNTIF(M:M,M56)</f>
        <v>1</v>
      </c>
    </row>
    <row r="57" spans="1:14" x14ac:dyDescent="0.35">
      <c r="A57" s="4">
        <v>101</v>
      </c>
      <c r="B57" s="5" t="s">
        <v>75</v>
      </c>
      <c r="C57" s="5" t="str">
        <f t="shared" si="0"/>
        <v>C101</v>
      </c>
      <c r="D57" s="4" t="s">
        <v>76</v>
      </c>
      <c r="E57" s="5" t="s">
        <v>77</v>
      </c>
      <c r="F57" s="5" t="s">
        <v>78</v>
      </c>
      <c r="G57" s="13">
        <v>55</v>
      </c>
      <c r="H57" s="9">
        <v>0.05</v>
      </c>
      <c r="I57" s="13">
        <f t="shared" si="1"/>
        <v>2.75</v>
      </c>
      <c r="J57" s="7">
        <f t="shared" si="2"/>
        <v>57.75</v>
      </c>
      <c r="K57" s="5" t="s">
        <v>72</v>
      </c>
      <c r="L57" s="5" t="s">
        <v>79</v>
      </c>
      <c r="M57" s="5" t="str">
        <f>E57&amp;" "&amp;F57&amp;" "&amp;K57&amp;" "&amp;L57</f>
        <v>Ice Cream Cassatta Rainbow Casatta 1NO 100G</v>
      </c>
      <c r="N57" s="5">
        <f>COUNTIF(M:M,M57)</f>
        <v>1</v>
      </c>
    </row>
    <row r="58" spans="1:14" x14ac:dyDescent="0.35">
      <c r="A58" s="4">
        <v>102</v>
      </c>
      <c r="B58" s="5" t="s">
        <v>75</v>
      </c>
      <c r="C58" s="5" t="str">
        <f t="shared" si="0"/>
        <v>C102</v>
      </c>
      <c r="D58" s="4" t="s">
        <v>76</v>
      </c>
      <c r="E58" s="5" t="s">
        <v>77</v>
      </c>
      <c r="F58" s="5" t="s">
        <v>80</v>
      </c>
      <c r="G58" s="13">
        <v>65</v>
      </c>
      <c r="H58" s="9">
        <v>0.05</v>
      </c>
      <c r="I58" s="13">
        <f t="shared" si="1"/>
        <v>3.25</v>
      </c>
      <c r="J58" s="7">
        <f t="shared" si="2"/>
        <v>68.25</v>
      </c>
      <c r="K58" s="5" t="s">
        <v>72</v>
      </c>
      <c r="L58" s="5" t="s">
        <v>79</v>
      </c>
      <c r="M58" s="5" t="str">
        <f>E58&amp;" "&amp;F58&amp;" "&amp;K58&amp;" "&amp;L58</f>
        <v>Ice Cream Cassatta Fruit Cassatta 1NO 100G</v>
      </c>
      <c r="N58" s="5">
        <f>COUNTIF(M:M,M58)</f>
        <v>1</v>
      </c>
    </row>
    <row r="59" spans="1:14" x14ac:dyDescent="0.35">
      <c r="A59" s="4">
        <v>103</v>
      </c>
      <c r="B59" s="5" t="s">
        <v>75</v>
      </c>
      <c r="C59" s="5" t="str">
        <f t="shared" si="0"/>
        <v>C103</v>
      </c>
      <c r="D59" s="4" t="s">
        <v>76</v>
      </c>
      <c r="E59" s="5" t="s">
        <v>77</v>
      </c>
      <c r="F59" s="5" t="s">
        <v>81</v>
      </c>
      <c r="G59" s="13">
        <v>65</v>
      </c>
      <c r="H59" s="9">
        <v>0.05</v>
      </c>
      <c r="I59" s="13">
        <f t="shared" si="1"/>
        <v>3.25</v>
      </c>
      <c r="J59" s="7">
        <f t="shared" si="2"/>
        <v>68.25</v>
      </c>
      <c r="K59" s="5" t="s">
        <v>72</v>
      </c>
      <c r="L59" s="5" t="s">
        <v>79</v>
      </c>
      <c r="M59" s="5" t="str">
        <f>E59&amp;" "&amp;F59&amp;" "&amp;K59&amp;" "&amp;L59</f>
        <v>Ice Cream Cassatta Chocolate Casatta 1NO 100G</v>
      </c>
      <c r="N59" s="5">
        <f>COUNTIF(M:M,M59)</f>
        <v>1</v>
      </c>
    </row>
    <row r="60" spans="1:14" x14ac:dyDescent="0.35">
      <c r="A60" s="4">
        <v>104</v>
      </c>
      <c r="B60" s="5" t="s">
        <v>75</v>
      </c>
      <c r="C60" s="5" t="str">
        <f t="shared" si="0"/>
        <v>C104</v>
      </c>
      <c r="D60" s="4" t="s">
        <v>76</v>
      </c>
      <c r="E60" s="5" t="s">
        <v>77</v>
      </c>
      <c r="F60" s="5" t="s">
        <v>82</v>
      </c>
      <c r="G60" s="13">
        <v>80</v>
      </c>
      <c r="H60" s="9">
        <v>0.05</v>
      </c>
      <c r="I60" s="13">
        <f t="shared" si="1"/>
        <v>4</v>
      </c>
      <c r="J60" s="7">
        <f t="shared" si="2"/>
        <v>84</v>
      </c>
      <c r="K60" s="5" t="s">
        <v>72</v>
      </c>
      <c r="L60" s="5" t="s">
        <v>79</v>
      </c>
      <c r="M60" s="5" t="str">
        <f>E60&amp;" "&amp;F60&amp;" "&amp;K60&amp;" "&amp;L60</f>
        <v>Ice Cream Cassatta Oreo Casatta 1NO 100G</v>
      </c>
      <c r="N60" s="5">
        <f>COUNTIF(M:M,M60)</f>
        <v>1</v>
      </c>
    </row>
    <row r="61" spans="1:14" x14ac:dyDescent="0.35">
      <c r="A61" s="4">
        <v>101</v>
      </c>
      <c r="B61" s="5" t="s">
        <v>83</v>
      </c>
      <c r="C61" s="5" t="str">
        <f t="shared" si="0"/>
        <v>P101</v>
      </c>
      <c r="D61" s="5" t="s">
        <v>84</v>
      </c>
      <c r="E61" s="5" t="s">
        <v>85</v>
      </c>
      <c r="F61" s="5" t="s">
        <v>86</v>
      </c>
      <c r="G61" s="13">
        <v>10</v>
      </c>
      <c r="H61" s="9">
        <v>0.05</v>
      </c>
      <c r="I61" s="13">
        <f t="shared" si="1"/>
        <v>0.5</v>
      </c>
      <c r="J61" s="7">
        <f t="shared" si="2"/>
        <v>10.5</v>
      </c>
      <c r="K61" s="5" t="s">
        <v>87</v>
      </c>
      <c r="L61" s="5" t="s">
        <v>88</v>
      </c>
      <c r="M61" s="5" t="str">
        <f>E61&amp;" "&amp;F61&amp;" "&amp;K61&amp;" "&amp;L61</f>
        <v>Popsicle Water Base Grape 50CAV 40ML</v>
      </c>
      <c r="N61" s="5">
        <f>COUNTIF(M:M,M61)</f>
        <v>1</v>
      </c>
    </row>
    <row r="62" spans="1:14" x14ac:dyDescent="0.35">
      <c r="A62" s="4">
        <v>102</v>
      </c>
      <c r="B62" s="5" t="s">
        <v>83</v>
      </c>
      <c r="C62" s="5" t="str">
        <f t="shared" si="0"/>
        <v>P102</v>
      </c>
      <c r="D62" s="5" t="s">
        <v>84</v>
      </c>
      <c r="E62" s="5" t="s">
        <v>85</v>
      </c>
      <c r="F62" s="5" t="s">
        <v>89</v>
      </c>
      <c r="G62" s="13">
        <v>10</v>
      </c>
      <c r="H62" s="9">
        <v>0.05</v>
      </c>
      <c r="I62" s="13">
        <f t="shared" si="1"/>
        <v>0.5</v>
      </c>
      <c r="J62" s="7">
        <f t="shared" si="2"/>
        <v>10.5</v>
      </c>
      <c r="K62" s="5" t="s">
        <v>87</v>
      </c>
      <c r="L62" s="5" t="s">
        <v>88</v>
      </c>
      <c r="M62" s="5" t="str">
        <f>E62&amp;" "&amp;F62&amp;" "&amp;K62&amp;" "&amp;L62</f>
        <v>Popsicle Water Base Lemon 50CAV 40ML</v>
      </c>
      <c r="N62" s="5">
        <f>COUNTIF(M:M,M62)</f>
        <v>1</v>
      </c>
    </row>
    <row r="63" spans="1:14" x14ac:dyDescent="0.35">
      <c r="A63" s="4">
        <v>103</v>
      </c>
      <c r="B63" s="5" t="s">
        <v>83</v>
      </c>
      <c r="C63" s="5" t="str">
        <f t="shared" si="0"/>
        <v>P103</v>
      </c>
      <c r="D63" s="5" t="s">
        <v>84</v>
      </c>
      <c r="E63" s="5" t="s">
        <v>85</v>
      </c>
      <c r="F63" s="5" t="s">
        <v>90</v>
      </c>
      <c r="G63" s="13">
        <v>12</v>
      </c>
      <c r="H63" s="9">
        <v>0.05</v>
      </c>
      <c r="I63" s="13">
        <f t="shared" si="1"/>
        <v>0.60000000000000009</v>
      </c>
      <c r="J63" s="7">
        <f t="shared" si="2"/>
        <v>12.6</v>
      </c>
      <c r="K63" s="5" t="s">
        <v>87</v>
      </c>
      <c r="L63" s="5" t="s">
        <v>88</v>
      </c>
      <c r="M63" s="5" t="str">
        <f>E63&amp;" "&amp;F63&amp;" "&amp;K63&amp;" "&amp;L63</f>
        <v>Popsicle Water Base Pinapple 50CAV 40ML</v>
      </c>
      <c r="N63" s="5">
        <f>COUNTIF(M:M,M63)</f>
        <v>1</v>
      </c>
    </row>
    <row r="64" spans="1:14" x14ac:dyDescent="0.35">
      <c r="A64" s="4">
        <v>104</v>
      </c>
      <c r="B64" s="5" t="s">
        <v>83</v>
      </c>
      <c r="C64" s="5" t="str">
        <f t="shared" si="0"/>
        <v>P104</v>
      </c>
      <c r="D64" s="5" t="s">
        <v>84</v>
      </c>
      <c r="E64" s="5" t="s">
        <v>85</v>
      </c>
      <c r="F64" s="5" t="s">
        <v>91</v>
      </c>
      <c r="G64" s="13">
        <v>17.5</v>
      </c>
      <c r="H64" s="9">
        <v>0.05</v>
      </c>
      <c r="I64" s="13">
        <f t="shared" si="1"/>
        <v>0.875</v>
      </c>
      <c r="J64" s="7">
        <f t="shared" si="2"/>
        <v>18.375</v>
      </c>
      <c r="K64" s="5" t="s">
        <v>87</v>
      </c>
      <c r="L64" s="5" t="s">
        <v>88</v>
      </c>
      <c r="M64" s="5" t="str">
        <f>E64&amp;" "&amp;F64&amp;" "&amp;K64&amp;" "&amp;L64</f>
        <v>Popsicle Water Base Orange 50CAV 40ML</v>
      </c>
      <c r="N64" s="5">
        <f>COUNTIF(M:M,M64)</f>
        <v>1</v>
      </c>
    </row>
    <row r="65" spans="1:14" x14ac:dyDescent="0.35">
      <c r="A65" s="4">
        <v>105</v>
      </c>
      <c r="B65" s="5" t="s">
        <v>83</v>
      </c>
      <c r="C65" s="5" t="str">
        <f t="shared" si="0"/>
        <v>P105</v>
      </c>
      <c r="D65" s="5" t="s">
        <v>84</v>
      </c>
      <c r="E65" s="5" t="s">
        <v>85</v>
      </c>
      <c r="F65" s="5" t="s">
        <v>57</v>
      </c>
      <c r="G65" s="13">
        <v>17.5</v>
      </c>
      <c r="H65" s="9">
        <v>0.05</v>
      </c>
      <c r="I65" s="13">
        <f t="shared" si="1"/>
        <v>0.875</v>
      </c>
      <c r="J65" s="7">
        <f t="shared" si="2"/>
        <v>18.375</v>
      </c>
      <c r="K65" s="5" t="s">
        <v>87</v>
      </c>
      <c r="L65" s="5" t="s">
        <v>88</v>
      </c>
      <c r="M65" s="5" t="str">
        <f>E65&amp;" "&amp;F65&amp;" "&amp;K65&amp;" "&amp;L65</f>
        <v>Popsicle Water Base Mango 50CAV 40ML</v>
      </c>
      <c r="N65" s="5">
        <f>COUNTIF(M:M,M65)</f>
        <v>1</v>
      </c>
    </row>
    <row r="66" spans="1:14" x14ac:dyDescent="0.35">
      <c r="A66" s="4">
        <v>106</v>
      </c>
      <c r="B66" s="5" t="s">
        <v>83</v>
      </c>
      <c r="C66" s="5" t="str">
        <f t="shared" ref="C66:C119" si="3">B66&amp;A66</f>
        <v>P106</v>
      </c>
      <c r="D66" s="5" t="s">
        <v>84</v>
      </c>
      <c r="E66" s="5" t="s">
        <v>92</v>
      </c>
      <c r="F66" s="5" t="s">
        <v>93</v>
      </c>
      <c r="G66" s="13">
        <v>25</v>
      </c>
      <c r="H66" s="9">
        <v>0.05</v>
      </c>
      <c r="I66" s="13">
        <f t="shared" si="1"/>
        <v>1.25</v>
      </c>
      <c r="J66" s="7">
        <f t="shared" si="2"/>
        <v>26.25</v>
      </c>
      <c r="K66" s="5" t="s">
        <v>87</v>
      </c>
      <c r="L66" s="5" t="s">
        <v>88</v>
      </c>
      <c r="M66" s="5" t="str">
        <f>E66&amp;" "&amp;F66&amp;" "&amp;K66&amp;" "&amp;L66</f>
        <v>Popsicle Regular Rose Milk 50CAV 40ML</v>
      </c>
      <c r="N66" s="5">
        <f>COUNTIF(M:M,M66)</f>
        <v>1</v>
      </c>
    </row>
    <row r="67" spans="1:14" x14ac:dyDescent="0.35">
      <c r="A67" s="4">
        <v>107</v>
      </c>
      <c r="B67" s="5" t="s">
        <v>83</v>
      </c>
      <c r="C67" s="5" t="str">
        <f t="shared" si="3"/>
        <v>P107</v>
      </c>
      <c r="D67" s="5" t="s">
        <v>84</v>
      </c>
      <c r="E67" s="5" t="s">
        <v>92</v>
      </c>
      <c r="F67" s="5" t="s">
        <v>94</v>
      </c>
      <c r="G67" s="13">
        <v>20</v>
      </c>
      <c r="H67" s="9">
        <v>0.05</v>
      </c>
      <c r="I67" s="13">
        <f t="shared" ref="I67:I119" si="4">G67*H67</f>
        <v>1</v>
      </c>
      <c r="J67" s="7">
        <f t="shared" ref="J67:J119" si="5">G67+I67</f>
        <v>21</v>
      </c>
      <c r="K67" s="5" t="s">
        <v>87</v>
      </c>
      <c r="L67" s="5" t="s">
        <v>88</v>
      </c>
      <c r="M67" s="5" t="str">
        <f>E67&amp;" "&amp;F67&amp;" "&amp;K67&amp;" "&amp;L67</f>
        <v>Popsicle Regular Semiya Rose Milk 50CAV 40ML</v>
      </c>
      <c r="N67" s="5">
        <f>COUNTIF(M:M,M67)</f>
        <v>1</v>
      </c>
    </row>
    <row r="68" spans="1:14" x14ac:dyDescent="0.35">
      <c r="A68" s="4">
        <v>108</v>
      </c>
      <c r="B68" s="5" t="s">
        <v>83</v>
      </c>
      <c r="C68" s="5" t="str">
        <f t="shared" si="3"/>
        <v>P108</v>
      </c>
      <c r="D68" s="5" t="s">
        <v>84</v>
      </c>
      <c r="E68" s="5" t="s">
        <v>92</v>
      </c>
      <c r="F68" s="5" t="s">
        <v>22</v>
      </c>
      <c r="G68" s="13">
        <v>20</v>
      </c>
      <c r="H68" s="9">
        <v>0.05</v>
      </c>
      <c r="I68" s="13">
        <f t="shared" si="4"/>
        <v>1</v>
      </c>
      <c r="J68" s="7">
        <f t="shared" si="5"/>
        <v>21</v>
      </c>
      <c r="K68" s="5" t="s">
        <v>87</v>
      </c>
      <c r="L68" s="5" t="s">
        <v>88</v>
      </c>
      <c r="M68" s="5" t="str">
        <f>E68&amp;" "&amp;F68&amp;" "&amp;K68&amp;" "&amp;L68</f>
        <v>Popsicle Regular Chocolate 50CAV 40ML</v>
      </c>
      <c r="N68" s="5">
        <f>COUNTIF(M:M,M68)</f>
        <v>1</v>
      </c>
    </row>
    <row r="69" spans="1:14" x14ac:dyDescent="0.35">
      <c r="A69" s="4">
        <v>109</v>
      </c>
      <c r="B69" s="5" t="s">
        <v>83</v>
      </c>
      <c r="C69" s="5" t="str">
        <f t="shared" si="3"/>
        <v>P109</v>
      </c>
      <c r="D69" s="5" t="s">
        <v>84</v>
      </c>
      <c r="E69" s="5" t="s">
        <v>92</v>
      </c>
      <c r="F69" s="5" t="s">
        <v>23</v>
      </c>
      <c r="G69" s="13">
        <v>23</v>
      </c>
      <c r="H69" s="9">
        <v>0.05</v>
      </c>
      <c r="I69" s="13">
        <f t="shared" si="4"/>
        <v>1.1500000000000001</v>
      </c>
      <c r="J69" s="7">
        <f t="shared" si="5"/>
        <v>24.15</v>
      </c>
      <c r="K69" s="5" t="s">
        <v>87</v>
      </c>
      <c r="L69" s="5" t="s">
        <v>88</v>
      </c>
      <c r="M69" s="5" t="str">
        <f>E69&amp;" "&amp;F69&amp;" "&amp;K69&amp;" "&amp;L69</f>
        <v>Popsicle Regular Chocoalte Chip 50CAV 40ML</v>
      </c>
      <c r="N69" s="5">
        <f>COUNTIF(M:M,M69)</f>
        <v>1</v>
      </c>
    </row>
    <row r="70" spans="1:14" x14ac:dyDescent="0.35">
      <c r="A70" s="4">
        <v>110</v>
      </c>
      <c r="B70" s="5" t="s">
        <v>83</v>
      </c>
      <c r="C70" s="5" t="str">
        <f t="shared" si="3"/>
        <v>P110</v>
      </c>
      <c r="D70" s="5" t="s">
        <v>84</v>
      </c>
      <c r="E70" s="5" t="s">
        <v>92</v>
      </c>
      <c r="F70" s="5" t="s">
        <v>95</v>
      </c>
      <c r="G70" s="13">
        <v>20</v>
      </c>
      <c r="H70" s="9">
        <v>0.05</v>
      </c>
      <c r="I70" s="13">
        <f t="shared" si="4"/>
        <v>1</v>
      </c>
      <c r="J70" s="7">
        <f t="shared" si="5"/>
        <v>21</v>
      </c>
      <c r="K70" s="5" t="s">
        <v>87</v>
      </c>
      <c r="L70" s="5" t="s">
        <v>88</v>
      </c>
      <c r="M70" s="5" t="str">
        <f>E70&amp;" "&amp;F70&amp;" "&amp;K70&amp;" "&amp;L70</f>
        <v>Popsicle Regular Coffee 50CAV 40ML</v>
      </c>
      <c r="N70" s="5">
        <f>COUNTIF(M:M,M70)</f>
        <v>1</v>
      </c>
    </row>
    <row r="71" spans="1:14" x14ac:dyDescent="0.35">
      <c r="A71" s="4">
        <v>111</v>
      </c>
      <c r="B71" s="5" t="s">
        <v>83</v>
      </c>
      <c r="C71" s="5" t="str">
        <f t="shared" si="3"/>
        <v>P111</v>
      </c>
      <c r="D71" s="5" t="s">
        <v>84</v>
      </c>
      <c r="E71" s="5" t="s">
        <v>92</v>
      </c>
      <c r="F71" s="5" t="s">
        <v>96</v>
      </c>
      <c r="G71" s="13">
        <v>20</v>
      </c>
      <c r="H71" s="9">
        <v>0.05</v>
      </c>
      <c r="I71" s="13">
        <f t="shared" si="4"/>
        <v>1</v>
      </c>
      <c r="J71" s="7">
        <f t="shared" si="5"/>
        <v>21</v>
      </c>
      <c r="K71" s="5" t="s">
        <v>87</v>
      </c>
      <c r="L71" s="5" t="s">
        <v>88</v>
      </c>
      <c r="M71" s="5" t="str">
        <f>E71&amp;" "&amp;F71&amp;" "&amp;K71&amp;" "&amp;L71</f>
        <v>Popsicle Regular Vanilla 50CAV 40ML</v>
      </c>
      <c r="N71" s="5">
        <f>COUNTIF(M:M,M71)</f>
        <v>1</v>
      </c>
    </row>
    <row r="72" spans="1:14" x14ac:dyDescent="0.35">
      <c r="A72" s="4">
        <v>112</v>
      </c>
      <c r="B72" s="5" t="s">
        <v>83</v>
      </c>
      <c r="C72" s="5" t="str">
        <f t="shared" si="3"/>
        <v>P112</v>
      </c>
      <c r="D72" s="5" t="s">
        <v>84</v>
      </c>
      <c r="E72" s="5" t="s">
        <v>92</v>
      </c>
      <c r="F72" s="5" t="s">
        <v>24</v>
      </c>
      <c r="G72" s="13">
        <v>20</v>
      </c>
      <c r="H72" s="9">
        <v>0.05</v>
      </c>
      <c r="I72" s="13">
        <f t="shared" si="4"/>
        <v>1</v>
      </c>
      <c r="J72" s="7">
        <f t="shared" si="5"/>
        <v>21</v>
      </c>
      <c r="K72" s="5" t="s">
        <v>87</v>
      </c>
      <c r="L72" s="5" t="s">
        <v>88</v>
      </c>
      <c r="M72" s="5" t="str">
        <f>E72&amp;" "&amp;F72&amp;" "&amp;K72&amp;" "&amp;L72</f>
        <v>Popsicle Regular Butterscotch 50CAV 40ML</v>
      </c>
      <c r="N72" s="5">
        <f>COUNTIF(M:M,M72)</f>
        <v>1</v>
      </c>
    </row>
    <row r="73" spans="1:14" x14ac:dyDescent="0.35">
      <c r="A73" s="4">
        <v>113</v>
      </c>
      <c r="B73" s="5" t="s">
        <v>83</v>
      </c>
      <c r="C73" s="5" t="str">
        <f t="shared" si="3"/>
        <v>P113</v>
      </c>
      <c r="D73" s="5" t="s">
        <v>84</v>
      </c>
      <c r="E73" s="5" t="s">
        <v>92</v>
      </c>
      <c r="F73" s="5" t="s">
        <v>57</v>
      </c>
      <c r="G73" s="13">
        <v>32</v>
      </c>
      <c r="H73" s="9">
        <v>0.05</v>
      </c>
      <c r="I73" s="13">
        <f t="shared" si="4"/>
        <v>1.6</v>
      </c>
      <c r="J73" s="7">
        <f t="shared" si="5"/>
        <v>33.6</v>
      </c>
      <c r="K73" s="5" t="s">
        <v>87</v>
      </c>
      <c r="L73" s="5" t="s">
        <v>88</v>
      </c>
      <c r="M73" s="5" t="str">
        <f>E73&amp;" "&amp;F73&amp;" "&amp;K73&amp;" "&amp;L73</f>
        <v>Popsicle Regular Mango 50CAV 40ML</v>
      </c>
      <c r="N73" s="5">
        <f>COUNTIF(M:M,M73)</f>
        <v>1</v>
      </c>
    </row>
    <row r="74" spans="1:14" x14ac:dyDescent="0.35">
      <c r="A74" s="4">
        <v>114</v>
      </c>
      <c r="B74" s="5" t="s">
        <v>83</v>
      </c>
      <c r="C74" s="5" t="str">
        <f t="shared" si="3"/>
        <v>P114</v>
      </c>
      <c r="D74" s="5" t="s">
        <v>84</v>
      </c>
      <c r="E74" s="5" t="s">
        <v>92</v>
      </c>
      <c r="F74" s="5" t="s">
        <v>29</v>
      </c>
      <c r="G74" s="13">
        <v>32</v>
      </c>
      <c r="H74" s="9">
        <v>0.05</v>
      </c>
      <c r="I74" s="13">
        <f t="shared" si="4"/>
        <v>1.6</v>
      </c>
      <c r="J74" s="7">
        <f t="shared" si="5"/>
        <v>33.6</v>
      </c>
      <c r="K74" s="5" t="s">
        <v>87</v>
      </c>
      <c r="L74" s="5" t="s">
        <v>88</v>
      </c>
      <c r="M74" s="5" t="str">
        <f>E74&amp;" "&amp;F74&amp;" "&amp;K74&amp;" "&amp;L74</f>
        <v>Popsicle Regular Strawberry 50CAV 40ML</v>
      </c>
      <c r="N74" s="5">
        <f>COUNTIF(M:M,M74)</f>
        <v>1</v>
      </c>
    </row>
    <row r="75" spans="1:14" x14ac:dyDescent="0.35">
      <c r="A75" s="4">
        <v>115</v>
      </c>
      <c r="B75" s="5" t="s">
        <v>83</v>
      </c>
      <c r="C75" s="5" t="str">
        <f t="shared" si="3"/>
        <v>P115</v>
      </c>
      <c r="D75" s="5" t="s">
        <v>84</v>
      </c>
      <c r="E75" s="5" t="s">
        <v>92</v>
      </c>
      <c r="F75" s="5" t="s">
        <v>30</v>
      </c>
      <c r="G75" s="13">
        <v>32</v>
      </c>
      <c r="H75" s="9">
        <v>0.05</v>
      </c>
      <c r="I75" s="13">
        <f t="shared" si="4"/>
        <v>1.6</v>
      </c>
      <c r="J75" s="7">
        <f t="shared" si="5"/>
        <v>33.6</v>
      </c>
      <c r="K75" s="5" t="s">
        <v>87</v>
      </c>
      <c r="L75" s="5" t="s">
        <v>88</v>
      </c>
      <c r="M75" s="5" t="str">
        <f>E75&amp;" "&amp;F75&amp;" "&amp;K75&amp;" "&amp;L75</f>
        <v>Popsicle Regular Guva Pink 50CAV 40ML</v>
      </c>
      <c r="N75" s="5">
        <f>COUNTIF(M:M,M75)</f>
        <v>1</v>
      </c>
    </row>
    <row r="76" spans="1:14" x14ac:dyDescent="0.35">
      <c r="A76" s="4">
        <v>116</v>
      </c>
      <c r="B76" s="5" t="s">
        <v>83</v>
      </c>
      <c r="C76" s="5" t="str">
        <f t="shared" si="3"/>
        <v>P116</v>
      </c>
      <c r="D76" s="5" t="s">
        <v>84</v>
      </c>
      <c r="E76" s="5" t="s">
        <v>92</v>
      </c>
      <c r="F76" s="5" t="s">
        <v>58</v>
      </c>
      <c r="G76" s="13">
        <v>32</v>
      </c>
      <c r="H76" s="9">
        <v>0.05</v>
      </c>
      <c r="I76" s="13">
        <f t="shared" si="4"/>
        <v>1.6</v>
      </c>
      <c r="J76" s="7">
        <f t="shared" si="5"/>
        <v>33.6</v>
      </c>
      <c r="K76" s="5" t="s">
        <v>87</v>
      </c>
      <c r="L76" s="5" t="s">
        <v>88</v>
      </c>
      <c r="M76" s="5" t="str">
        <f>E76&amp;" "&amp;F76&amp;" "&amp;K76&amp;" "&amp;L76</f>
        <v>Popsicle Regular Mixed Berry 50CAV 40ML</v>
      </c>
      <c r="N76" s="5">
        <f>COUNTIF(M:M,M76)</f>
        <v>1</v>
      </c>
    </row>
    <row r="77" spans="1:14" x14ac:dyDescent="0.35">
      <c r="A77" s="4">
        <v>117</v>
      </c>
      <c r="B77" s="5" t="s">
        <v>83</v>
      </c>
      <c r="C77" s="5" t="str">
        <f t="shared" si="3"/>
        <v>P117</v>
      </c>
      <c r="D77" s="5" t="s">
        <v>84</v>
      </c>
      <c r="E77" s="5" t="s">
        <v>92</v>
      </c>
      <c r="F77" s="5" t="s">
        <v>28</v>
      </c>
      <c r="G77" s="13">
        <v>32</v>
      </c>
      <c r="H77" s="9">
        <v>0.05</v>
      </c>
      <c r="I77" s="13">
        <f t="shared" si="4"/>
        <v>1.6</v>
      </c>
      <c r="J77" s="7">
        <f t="shared" si="5"/>
        <v>33.6</v>
      </c>
      <c r="K77" s="5" t="s">
        <v>87</v>
      </c>
      <c r="L77" s="5" t="s">
        <v>88</v>
      </c>
      <c r="M77" s="5" t="str">
        <f>E77&amp;" "&amp;F77&amp;" "&amp;K77&amp;" "&amp;L77</f>
        <v>Popsicle Regular Blueberry 50CAV 40ML</v>
      </c>
      <c r="N77" s="5">
        <f>COUNTIF(M:M,M77)</f>
        <v>1</v>
      </c>
    </row>
    <row r="78" spans="1:14" x14ac:dyDescent="0.35">
      <c r="A78" s="4">
        <v>118</v>
      </c>
      <c r="B78" s="5" t="s">
        <v>83</v>
      </c>
      <c r="C78" s="5" t="str">
        <f t="shared" si="3"/>
        <v>P118</v>
      </c>
      <c r="D78" s="5" t="s">
        <v>84</v>
      </c>
      <c r="E78" s="5" t="s">
        <v>92</v>
      </c>
      <c r="F78" s="5" t="s">
        <v>62</v>
      </c>
      <c r="G78" s="13">
        <v>32</v>
      </c>
      <c r="H78" s="9">
        <v>0.05</v>
      </c>
      <c r="I78" s="13">
        <f t="shared" si="4"/>
        <v>1.6</v>
      </c>
      <c r="J78" s="7">
        <f t="shared" si="5"/>
        <v>33.6</v>
      </c>
      <c r="K78" s="5" t="s">
        <v>87</v>
      </c>
      <c r="L78" s="5" t="s">
        <v>88</v>
      </c>
      <c r="M78" s="5" t="str">
        <f>E78&amp;" "&amp;F78&amp;" "&amp;K78&amp;" "&amp;L78</f>
        <v>Popsicle Regular Jamun 50CAV 40ML</v>
      </c>
      <c r="N78" s="5">
        <f>COUNTIF(M:M,M78)</f>
        <v>1</v>
      </c>
    </row>
    <row r="79" spans="1:14" x14ac:dyDescent="0.35">
      <c r="A79" s="4">
        <v>119</v>
      </c>
      <c r="B79" s="5" t="s">
        <v>83</v>
      </c>
      <c r="C79" s="5" t="str">
        <f t="shared" si="3"/>
        <v>P119</v>
      </c>
      <c r="D79" s="5" t="s">
        <v>84</v>
      </c>
      <c r="E79" s="5" t="s">
        <v>92</v>
      </c>
      <c r="F79" s="5" t="s">
        <v>55</v>
      </c>
      <c r="G79" s="13">
        <v>32</v>
      </c>
      <c r="H79" s="9">
        <v>0.05</v>
      </c>
      <c r="I79" s="13">
        <f t="shared" si="4"/>
        <v>1.6</v>
      </c>
      <c r="J79" s="7">
        <f t="shared" si="5"/>
        <v>33.6</v>
      </c>
      <c r="K79" s="5" t="s">
        <v>87</v>
      </c>
      <c r="L79" s="5" t="s">
        <v>88</v>
      </c>
      <c r="M79" s="5" t="str">
        <f>E79&amp;" "&amp;F79&amp;" "&amp;K79&amp;" "&amp;L79</f>
        <v>Popsicle Regular JackFruit 50CAV 40ML</v>
      </c>
      <c r="N79" s="5">
        <f>COUNTIF(M:M,M79)</f>
        <v>1</v>
      </c>
    </row>
    <row r="80" spans="1:14" x14ac:dyDescent="0.35">
      <c r="A80" s="4">
        <v>120</v>
      </c>
      <c r="B80" s="5" t="s">
        <v>83</v>
      </c>
      <c r="C80" s="5" t="str">
        <f t="shared" si="3"/>
        <v>P120</v>
      </c>
      <c r="D80" s="5" t="s">
        <v>84</v>
      </c>
      <c r="E80" s="5" t="s">
        <v>92</v>
      </c>
      <c r="F80" s="5" t="s">
        <v>56</v>
      </c>
      <c r="G80" s="13">
        <v>32</v>
      </c>
      <c r="H80" s="9">
        <v>0.05</v>
      </c>
      <c r="I80" s="13">
        <f t="shared" si="4"/>
        <v>1.6</v>
      </c>
      <c r="J80" s="7">
        <f t="shared" si="5"/>
        <v>33.6</v>
      </c>
      <c r="K80" s="5" t="s">
        <v>87</v>
      </c>
      <c r="L80" s="5" t="s">
        <v>88</v>
      </c>
      <c r="M80" s="5" t="str">
        <f>E80&amp;" "&amp;F80&amp;" "&amp;K80&amp;" "&amp;L80</f>
        <v>Popsicle Regular Litchi 50CAV 40ML</v>
      </c>
      <c r="N80" s="5">
        <f>COUNTIF(M:M,M80)</f>
        <v>1</v>
      </c>
    </row>
    <row r="81" spans="1:14" x14ac:dyDescent="0.35">
      <c r="A81" s="4">
        <v>121</v>
      </c>
      <c r="B81" s="5" t="s">
        <v>83</v>
      </c>
      <c r="C81" s="5" t="str">
        <f t="shared" si="3"/>
        <v>P121</v>
      </c>
      <c r="D81" s="5" t="s">
        <v>84</v>
      </c>
      <c r="E81" s="5" t="s">
        <v>92</v>
      </c>
      <c r="F81" s="5" t="s">
        <v>54</v>
      </c>
      <c r="G81" s="13">
        <v>32</v>
      </c>
      <c r="H81" s="9">
        <v>0.05</v>
      </c>
      <c r="I81" s="13">
        <f t="shared" si="4"/>
        <v>1.6</v>
      </c>
      <c r="J81" s="7">
        <f t="shared" si="5"/>
        <v>33.6</v>
      </c>
      <c r="K81" s="5" t="s">
        <v>87</v>
      </c>
      <c r="L81" s="5" t="s">
        <v>88</v>
      </c>
      <c r="M81" s="5" t="str">
        <f>E81&amp;" "&amp;F81&amp;" "&amp;K81&amp;" "&amp;L81</f>
        <v>Popsicle Regular Chickoo 50CAV 40ML</v>
      </c>
      <c r="N81" s="5">
        <f>COUNTIF(M:M,M81)</f>
        <v>1</v>
      </c>
    </row>
    <row r="82" spans="1:14" x14ac:dyDescent="0.35">
      <c r="A82" s="4">
        <v>122</v>
      </c>
      <c r="B82" s="5" t="s">
        <v>83</v>
      </c>
      <c r="C82" s="5" t="str">
        <f t="shared" si="3"/>
        <v>P122</v>
      </c>
      <c r="D82" s="5" t="s">
        <v>84</v>
      </c>
      <c r="E82" s="5" t="s">
        <v>92</v>
      </c>
      <c r="F82" s="5" t="s">
        <v>90</v>
      </c>
      <c r="G82" s="13">
        <v>32</v>
      </c>
      <c r="H82" s="9">
        <v>0.05</v>
      </c>
      <c r="I82" s="13">
        <f t="shared" si="4"/>
        <v>1.6</v>
      </c>
      <c r="J82" s="7">
        <f t="shared" si="5"/>
        <v>33.6</v>
      </c>
      <c r="K82" s="5" t="s">
        <v>87</v>
      </c>
      <c r="L82" s="5" t="s">
        <v>88</v>
      </c>
      <c r="M82" s="5" t="str">
        <f>E82&amp;" "&amp;F82&amp;" "&amp;K82&amp;" "&amp;L82</f>
        <v>Popsicle Regular Pinapple 50CAV 40ML</v>
      </c>
      <c r="N82" s="5">
        <f>COUNTIF(M:M,M82)</f>
        <v>1</v>
      </c>
    </row>
    <row r="83" spans="1:14" x14ac:dyDescent="0.35">
      <c r="A83" s="4">
        <v>123</v>
      </c>
      <c r="B83" s="5" t="s">
        <v>83</v>
      </c>
      <c r="C83" s="5" t="str">
        <f t="shared" si="3"/>
        <v>P123</v>
      </c>
      <c r="D83" s="5" t="s">
        <v>84</v>
      </c>
      <c r="E83" s="5" t="s">
        <v>92</v>
      </c>
      <c r="F83" s="5" t="s">
        <v>59</v>
      </c>
      <c r="G83" s="13">
        <v>32</v>
      </c>
      <c r="H83" s="9">
        <v>0.05</v>
      </c>
      <c r="I83" s="13">
        <f t="shared" si="4"/>
        <v>1.6</v>
      </c>
      <c r="J83" s="7">
        <f t="shared" si="5"/>
        <v>33.6</v>
      </c>
      <c r="K83" s="5" t="s">
        <v>87</v>
      </c>
      <c r="L83" s="5" t="s">
        <v>88</v>
      </c>
      <c r="M83" s="5" t="str">
        <f>E83&amp;" "&amp;F83&amp;" "&amp;K83&amp;" "&amp;L83</f>
        <v>Popsicle Regular Rasberry 50CAV 40ML</v>
      </c>
      <c r="N83" s="5">
        <f>COUNTIF(M:M,M83)</f>
        <v>1</v>
      </c>
    </row>
    <row r="84" spans="1:14" x14ac:dyDescent="0.35">
      <c r="A84" s="4">
        <v>124</v>
      </c>
      <c r="B84" s="5" t="s">
        <v>83</v>
      </c>
      <c r="C84" s="5" t="str">
        <f t="shared" si="3"/>
        <v>P124</v>
      </c>
      <c r="D84" s="5" t="s">
        <v>84</v>
      </c>
      <c r="E84" s="5" t="s">
        <v>92</v>
      </c>
      <c r="F84" s="5" t="s">
        <v>86</v>
      </c>
      <c r="G84" s="13">
        <v>32</v>
      </c>
      <c r="H84" s="9">
        <v>0.05</v>
      </c>
      <c r="I84" s="13">
        <f t="shared" si="4"/>
        <v>1.6</v>
      </c>
      <c r="J84" s="7">
        <f t="shared" si="5"/>
        <v>33.6</v>
      </c>
      <c r="K84" s="5" t="s">
        <v>87</v>
      </c>
      <c r="L84" s="5" t="s">
        <v>88</v>
      </c>
      <c r="M84" s="5" t="str">
        <f>E84&amp;" "&amp;F84&amp;" "&amp;K84&amp;" "&amp;L84</f>
        <v>Popsicle Regular Grape 50CAV 40ML</v>
      </c>
      <c r="N84" s="5">
        <f>COUNTIF(M:M,M84)</f>
        <v>1</v>
      </c>
    </row>
    <row r="85" spans="1:14" x14ac:dyDescent="0.35">
      <c r="A85" s="4">
        <v>125</v>
      </c>
      <c r="B85" s="5" t="s">
        <v>83</v>
      </c>
      <c r="C85" s="5" t="str">
        <f t="shared" si="3"/>
        <v>P125</v>
      </c>
      <c r="D85" s="5" t="s">
        <v>84</v>
      </c>
      <c r="E85" s="5" t="s">
        <v>92</v>
      </c>
      <c r="F85" s="5" t="s">
        <v>97</v>
      </c>
      <c r="G85" s="13">
        <v>32</v>
      </c>
      <c r="H85" s="9">
        <v>0.05</v>
      </c>
      <c r="I85" s="13">
        <f t="shared" si="4"/>
        <v>1.6</v>
      </c>
      <c r="J85" s="7">
        <f t="shared" si="5"/>
        <v>33.6</v>
      </c>
      <c r="K85" s="5" t="s">
        <v>87</v>
      </c>
      <c r="L85" s="5" t="s">
        <v>88</v>
      </c>
      <c r="M85" s="5" t="str">
        <f>E85&amp;" "&amp;F85&amp;" "&amp;K85&amp;" "&amp;L85</f>
        <v>Popsicle Regular Passion Fruit  50CAV 40ML</v>
      </c>
      <c r="N85" s="5">
        <f>COUNTIF(M:M,M85)</f>
        <v>1</v>
      </c>
    </row>
    <row r="86" spans="1:14" x14ac:dyDescent="0.35">
      <c r="A86" s="4">
        <v>126</v>
      </c>
      <c r="B86" s="5" t="s">
        <v>83</v>
      </c>
      <c r="C86" s="5" t="str">
        <f t="shared" si="3"/>
        <v>P126</v>
      </c>
      <c r="D86" s="5" t="s">
        <v>84</v>
      </c>
      <c r="E86" s="5" t="s">
        <v>92</v>
      </c>
      <c r="F86" s="5" t="s">
        <v>98</v>
      </c>
      <c r="G86" s="13">
        <v>32</v>
      </c>
      <c r="H86" s="9">
        <v>0.05</v>
      </c>
      <c r="I86" s="13">
        <f t="shared" si="4"/>
        <v>1.6</v>
      </c>
      <c r="J86" s="7">
        <f t="shared" si="5"/>
        <v>33.6</v>
      </c>
      <c r="K86" s="5" t="s">
        <v>87</v>
      </c>
      <c r="L86" s="5" t="s">
        <v>88</v>
      </c>
      <c r="M86" s="5" t="str">
        <f>E86&amp;" "&amp;F86&amp;" "&amp;K86&amp;" "&amp;L86</f>
        <v>Popsicle Regular Kaccha Mango 50CAV 40ML</v>
      </c>
      <c r="N86" s="5">
        <f>COUNTIF(M:M,M86)</f>
        <v>1</v>
      </c>
    </row>
    <row r="87" spans="1:14" x14ac:dyDescent="0.35">
      <c r="A87" s="4">
        <v>127</v>
      </c>
      <c r="B87" s="5" t="s">
        <v>83</v>
      </c>
      <c r="C87" s="5" t="str">
        <f t="shared" si="3"/>
        <v>P127</v>
      </c>
      <c r="D87" s="5" t="s">
        <v>84</v>
      </c>
      <c r="E87" s="5" t="s">
        <v>92</v>
      </c>
      <c r="F87" s="5" t="s">
        <v>99</v>
      </c>
      <c r="G87" s="13">
        <v>32</v>
      </c>
      <c r="H87" s="9">
        <v>0.05</v>
      </c>
      <c r="I87" s="13">
        <f t="shared" si="4"/>
        <v>1.6</v>
      </c>
      <c r="J87" s="7">
        <f t="shared" si="5"/>
        <v>33.6</v>
      </c>
      <c r="K87" s="5" t="s">
        <v>87</v>
      </c>
      <c r="L87" s="5" t="s">
        <v>88</v>
      </c>
      <c r="M87" s="5" t="str">
        <f>E87&amp;" "&amp;F87&amp;" "&amp;K87&amp;" "&amp;L87</f>
        <v>Popsicle Regular Kiwi 50CAV 40ML</v>
      </c>
      <c r="N87" s="5">
        <f>COUNTIF(M:M,M87)</f>
        <v>1</v>
      </c>
    </row>
    <row r="88" spans="1:14" x14ac:dyDescent="0.35">
      <c r="A88" s="4">
        <v>128</v>
      </c>
      <c r="B88" s="5" t="s">
        <v>83</v>
      </c>
      <c r="C88" s="5" t="str">
        <f t="shared" si="3"/>
        <v>P128</v>
      </c>
      <c r="D88" s="5" t="s">
        <v>84</v>
      </c>
      <c r="E88" s="5" t="s">
        <v>100</v>
      </c>
      <c r="F88" s="5" t="s">
        <v>43</v>
      </c>
      <c r="G88" s="13">
        <v>35</v>
      </c>
      <c r="H88" s="9">
        <v>0.05</v>
      </c>
      <c r="I88" s="13">
        <f t="shared" si="4"/>
        <v>1.75</v>
      </c>
      <c r="J88" s="7">
        <f t="shared" si="5"/>
        <v>36.75</v>
      </c>
      <c r="K88" s="5" t="s">
        <v>87</v>
      </c>
      <c r="L88" s="5" t="s">
        <v>88</v>
      </c>
      <c r="M88" s="5" t="str">
        <f>E88&amp;" "&amp;F88&amp;" "&amp;K88&amp;" "&amp;L88</f>
        <v>Popsicle Premium Brownie Choco 50CAV 40ML</v>
      </c>
      <c r="N88" s="5">
        <f>COUNTIF(M:M,M88)</f>
        <v>1</v>
      </c>
    </row>
    <row r="89" spans="1:14" x14ac:dyDescent="0.35">
      <c r="A89" s="4">
        <v>129</v>
      </c>
      <c r="B89" s="5" t="s">
        <v>83</v>
      </c>
      <c r="C89" s="5" t="str">
        <f t="shared" si="3"/>
        <v>P129</v>
      </c>
      <c r="D89" s="5" t="s">
        <v>84</v>
      </c>
      <c r="E89" s="5" t="s">
        <v>100</v>
      </c>
      <c r="F89" s="5" t="s">
        <v>44</v>
      </c>
      <c r="G89" s="13">
        <v>35</v>
      </c>
      <c r="H89" s="9">
        <v>0.05</v>
      </c>
      <c r="I89" s="13">
        <f t="shared" si="4"/>
        <v>1.75</v>
      </c>
      <c r="J89" s="7">
        <f t="shared" si="5"/>
        <v>36.75</v>
      </c>
      <c r="K89" s="5" t="s">
        <v>87</v>
      </c>
      <c r="L89" s="5" t="s">
        <v>88</v>
      </c>
      <c r="M89" s="5" t="str">
        <f>E89&amp;" "&amp;F89&amp;" "&amp;K89&amp;" "&amp;L89</f>
        <v>Popsicle Premium Redvelvet 50CAV 40ML</v>
      </c>
      <c r="N89" s="5">
        <f>COUNTIF(M:M,M89)</f>
        <v>1</v>
      </c>
    </row>
    <row r="90" spans="1:14" x14ac:dyDescent="0.35">
      <c r="A90" s="4">
        <v>130</v>
      </c>
      <c r="B90" s="5" t="s">
        <v>83</v>
      </c>
      <c r="C90" s="5" t="str">
        <f t="shared" si="3"/>
        <v>P130</v>
      </c>
      <c r="D90" s="5" t="s">
        <v>84</v>
      </c>
      <c r="E90" s="5" t="s">
        <v>100</v>
      </c>
      <c r="F90" s="5" t="s">
        <v>45</v>
      </c>
      <c r="G90" s="13">
        <v>35</v>
      </c>
      <c r="H90" s="9">
        <v>0.05</v>
      </c>
      <c r="I90" s="13">
        <f t="shared" si="4"/>
        <v>1.75</v>
      </c>
      <c r="J90" s="7">
        <f t="shared" si="5"/>
        <v>36.75</v>
      </c>
      <c r="K90" s="5" t="s">
        <v>87</v>
      </c>
      <c r="L90" s="5" t="s">
        <v>88</v>
      </c>
      <c r="M90" s="5" t="str">
        <f>E90&amp;" "&amp;F90&amp;" "&amp;K90&amp;" "&amp;L90</f>
        <v>Popsicle Premium BlackForest 50CAV 40ML</v>
      </c>
      <c r="N90" s="5">
        <f>COUNTIF(M:M,M90)</f>
        <v>1</v>
      </c>
    </row>
    <row r="91" spans="1:14" x14ac:dyDescent="0.35">
      <c r="A91" s="4">
        <v>131</v>
      </c>
      <c r="B91" s="5" t="s">
        <v>83</v>
      </c>
      <c r="C91" s="5" t="str">
        <f t="shared" si="3"/>
        <v>P131</v>
      </c>
      <c r="D91" s="5" t="s">
        <v>84</v>
      </c>
      <c r="E91" s="5" t="s">
        <v>100</v>
      </c>
      <c r="F91" s="5" t="s">
        <v>46</v>
      </c>
      <c r="G91" s="13">
        <v>35</v>
      </c>
      <c r="H91" s="9">
        <v>0.05</v>
      </c>
      <c r="I91" s="13">
        <f t="shared" si="4"/>
        <v>1.75</v>
      </c>
      <c r="J91" s="7">
        <f t="shared" si="5"/>
        <v>36.75</v>
      </c>
      <c r="K91" s="5" t="s">
        <v>87</v>
      </c>
      <c r="L91" s="5" t="s">
        <v>88</v>
      </c>
      <c r="M91" s="5" t="str">
        <f>E91&amp;" "&amp;F91&amp;" "&amp;K91&amp;" "&amp;L91</f>
        <v>Popsicle Premium Cookies 50CAV 40ML</v>
      </c>
      <c r="N91" s="5">
        <f>COUNTIF(M:M,M91)</f>
        <v>1</v>
      </c>
    </row>
    <row r="92" spans="1:14" x14ac:dyDescent="0.35">
      <c r="A92" s="4">
        <v>132</v>
      </c>
      <c r="B92" s="5" t="s">
        <v>83</v>
      </c>
      <c r="C92" s="5" t="str">
        <f t="shared" si="3"/>
        <v>P132</v>
      </c>
      <c r="D92" s="5" t="s">
        <v>84</v>
      </c>
      <c r="E92" s="5" t="s">
        <v>100</v>
      </c>
      <c r="F92" s="5" t="s">
        <v>47</v>
      </c>
      <c r="G92" s="13">
        <v>40</v>
      </c>
      <c r="H92" s="9">
        <v>0.05</v>
      </c>
      <c r="I92" s="13">
        <f t="shared" si="4"/>
        <v>2</v>
      </c>
      <c r="J92" s="7">
        <f t="shared" si="5"/>
        <v>42</v>
      </c>
      <c r="K92" s="5" t="s">
        <v>87</v>
      </c>
      <c r="L92" s="5" t="s">
        <v>88</v>
      </c>
      <c r="M92" s="5" t="str">
        <f>E92&amp;" "&amp;F92&amp;" "&amp;K92&amp;" "&amp;L92</f>
        <v>Popsicle Premium Oreo Vanilla 50CAV 40ML</v>
      </c>
      <c r="N92" s="5">
        <f>COUNTIF(M:M,M92)</f>
        <v>1</v>
      </c>
    </row>
    <row r="93" spans="1:14" x14ac:dyDescent="0.35">
      <c r="A93" s="4">
        <v>133</v>
      </c>
      <c r="B93" s="5" t="s">
        <v>83</v>
      </c>
      <c r="C93" s="5" t="str">
        <f t="shared" si="3"/>
        <v>P133</v>
      </c>
      <c r="D93" s="5" t="s">
        <v>84</v>
      </c>
      <c r="E93" s="5" t="s">
        <v>100</v>
      </c>
      <c r="F93" s="5" t="s">
        <v>48</v>
      </c>
      <c r="G93" s="13">
        <v>35</v>
      </c>
      <c r="H93" s="9">
        <v>0.05</v>
      </c>
      <c r="I93" s="13">
        <f t="shared" si="4"/>
        <v>1.75</v>
      </c>
      <c r="J93" s="7">
        <f t="shared" si="5"/>
        <v>36.75</v>
      </c>
      <c r="K93" s="5" t="s">
        <v>87</v>
      </c>
      <c r="L93" s="5" t="s">
        <v>88</v>
      </c>
      <c r="M93" s="5" t="str">
        <f>E93&amp;" "&amp;F93&amp;" "&amp;K93&amp;" "&amp;L93</f>
        <v>Popsicle Premium Biscoff 50CAV 40ML</v>
      </c>
      <c r="N93" s="5">
        <f>COUNTIF(M:M,M93)</f>
        <v>1</v>
      </c>
    </row>
    <row r="94" spans="1:14" x14ac:dyDescent="0.35">
      <c r="A94" s="4">
        <v>134</v>
      </c>
      <c r="B94" s="5" t="s">
        <v>83</v>
      </c>
      <c r="C94" s="5" t="str">
        <f t="shared" si="3"/>
        <v>P134</v>
      </c>
      <c r="D94" s="5" t="s">
        <v>84</v>
      </c>
      <c r="E94" s="5" t="s">
        <v>101</v>
      </c>
      <c r="F94" s="5" t="s">
        <v>34</v>
      </c>
      <c r="G94" s="13">
        <v>35</v>
      </c>
      <c r="H94" s="9">
        <v>0.05</v>
      </c>
      <c r="I94" s="13">
        <f t="shared" si="4"/>
        <v>1.75</v>
      </c>
      <c r="J94" s="7">
        <f t="shared" si="5"/>
        <v>36.75</v>
      </c>
      <c r="K94" s="5" t="s">
        <v>87</v>
      </c>
      <c r="L94" s="5" t="s">
        <v>88</v>
      </c>
      <c r="M94" s="5" t="str">
        <f>E94&amp;" "&amp;F94&amp;" "&amp;K94&amp;" "&amp;L94</f>
        <v>Popsicle Special Rose Gulkanda 50CAV 40ML</v>
      </c>
      <c r="N94" s="5">
        <f>COUNTIF(M:M,M94)</f>
        <v>1</v>
      </c>
    </row>
    <row r="95" spans="1:14" x14ac:dyDescent="0.35">
      <c r="A95" s="4">
        <v>135</v>
      </c>
      <c r="B95" s="5" t="s">
        <v>83</v>
      </c>
      <c r="C95" s="5" t="str">
        <f t="shared" si="3"/>
        <v>P135</v>
      </c>
      <c r="D95" s="5" t="s">
        <v>84</v>
      </c>
      <c r="E95" s="5" t="s">
        <v>101</v>
      </c>
      <c r="F95" s="5" t="s">
        <v>35</v>
      </c>
      <c r="G95" s="13">
        <v>35</v>
      </c>
      <c r="H95" s="9">
        <v>0.05</v>
      </c>
      <c r="I95" s="13">
        <f t="shared" si="4"/>
        <v>1.75</v>
      </c>
      <c r="J95" s="7">
        <f t="shared" si="5"/>
        <v>36.75</v>
      </c>
      <c r="K95" s="5" t="s">
        <v>87</v>
      </c>
      <c r="L95" s="5" t="s">
        <v>88</v>
      </c>
      <c r="M95" s="5" t="str">
        <f>E95&amp;" "&amp;F95&amp;" "&amp;K95&amp;" "&amp;L95</f>
        <v>Popsicle Special Calcutta Paan 50CAV 40ML</v>
      </c>
      <c r="N95" s="5">
        <f>COUNTIF(M:M,M95)</f>
        <v>1</v>
      </c>
    </row>
    <row r="96" spans="1:14" x14ac:dyDescent="0.35">
      <c r="A96" s="4">
        <v>136</v>
      </c>
      <c r="B96" s="5" t="s">
        <v>83</v>
      </c>
      <c r="C96" s="5" t="str">
        <f t="shared" si="3"/>
        <v>P136</v>
      </c>
      <c r="D96" s="5" t="s">
        <v>84</v>
      </c>
      <c r="E96" s="5" t="s">
        <v>101</v>
      </c>
      <c r="F96" s="5" t="s">
        <v>36</v>
      </c>
      <c r="G96" s="13">
        <v>35</v>
      </c>
      <c r="H96" s="9">
        <v>0.05</v>
      </c>
      <c r="I96" s="13">
        <f t="shared" si="4"/>
        <v>1.75</v>
      </c>
      <c r="J96" s="7">
        <f t="shared" si="5"/>
        <v>36.75</v>
      </c>
      <c r="K96" s="5" t="s">
        <v>87</v>
      </c>
      <c r="L96" s="5" t="s">
        <v>88</v>
      </c>
      <c r="M96" s="5" t="str">
        <f>E96&amp;" "&amp;F96&amp;" "&amp;K96&amp;" "&amp;L96</f>
        <v>Popsicle Special Dry Fruit 50CAV 40ML</v>
      </c>
      <c r="N96" s="5">
        <f>COUNTIF(M:M,M96)</f>
        <v>1</v>
      </c>
    </row>
    <row r="97" spans="1:14" x14ac:dyDescent="0.35">
      <c r="A97" s="4">
        <v>137</v>
      </c>
      <c r="B97" s="5" t="s">
        <v>83</v>
      </c>
      <c r="C97" s="5" t="str">
        <f t="shared" si="3"/>
        <v>P137</v>
      </c>
      <c r="D97" s="5" t="s">
        <v>84</v>
      </c>
      <c r="E97" s="5" t="s">
        <v>101</v>
      </c>
      <c r="F97" s="5" t="s">
        <v>37</v>
      </c>
      <c r="G97" s="13">
        <v>35</v>
      </c>
      <c r="H97" s="9">
        <v>0.05</v>
      </c>
      <c r="I97" s="13">
        <f t="shared" si="4"/>
        <v>1.75</v>
      </c>
      <c r="J97" s="7">
        <f t="shared" si="5"/>
        <v>36.75</v>
      </c>
      <c r="K97" s="5" t="s">
        <v>87</v>
      </c>
      <c r="L97" s="5" t="s">
        <v>88</v>
      </c>
      <c r="M97" s="5" t="str">
        <f>E97&amp;" "&amp;F97&amp;" "&amp;K97&amp;" "&amp;L97</f>
        <v>Popsicle Special Rajbhog Kulfi 50CAV 40ML</v>
      </c>
      <c r="N97" s="5">
        <f>COUNTIF(M:M,M97)</f>
        <v>1</v>
      </c>
    </row>
    <row r="98" spans="1:14" x14ac:dyDescent="0.35">
      <c r="A98" s="4">
        <v>138</v>
      </c>
      <c r="B98" s="5" t="s">
        <v>83</v>
      </c>
      <c r="C98" s="5" t="str">
        <f t="shared" si="3"/>
        <v>P138</v>
      </c>
      <c r="D98" s="5" t="s">
        <v>84</v>
      </c>
      <c r="E98" s="5" t="s">
        <v>101</v>
      </c>
      <c r="F98" s="5" t="s">
        <v>21</v>
      </c>
      <c r="G98" s="13">
        <v>35</v>
      </c>
      <c r="H98" s="9">
        <v>0.05</v>
      </c>
      <c r="I98" s="13">
        <f t="shared" si="4"/>
        <v>1.75</v>
      </c>
      <c r="J98" s="7">
        <f t="shared" si="5"/>
        <v>36.75</v>
      </c>
      <c r="K98" s="5" t="s">
        <v>87</v>
      </c>
      <c r="L98" s="5" t="s">
        <v>88</v>
      </c>
      <c r="M98" s="5" t="str">
        <f>E98&amp;" "&amp;F98&amp;" "&amp;K98&amp;" "&amp;L98</f>
        <v>Popsicle Special Malai Badam 50CAV 40ML</v>
      </c>
      <c r="N98" s="5">
        <f>COUNTIF(M:M,M98)</f>
        <v>1</v>
      </c>
    </row>
    <row r="99" spans="1:14" x14ac:dyDescent="0.35">
      <c r="A99" s="4">
        <v>139</v>
      </c>
      <c r="B99" s="5" t="s">
        <v>83</v>
      </c>
      <c r="C99" s="5" t="str">
        <f t="shared" si="3"/>
        <v>P139</v>
      </c>
      <c r="D99" s="5" t="s">
        <v>84</v>
      </c>
      <c r="E99" s="5" t="s">
        <v>101</v>
      </c>
      <c r="F99" s="5" t="s">
        <v>20</v>
      </c>
      <c r="G99" s="13">
        <v>35</v>
      </c>
      <c r="H99" s="9">
        <v>0.05</v>
      </c>
      <c r="I99" s="13">
        <f t="shared" si="4"/>
        <v>1.75</v>
      </c>
      <c r="J99" s="7">
        <f t="shared" si="5"/>
        <v>36.75</v>
      </c>
      <c r="K99" s="5" t="s">
        <v>87</v>
      </c>
      <c r="L99" s="5" t="s">
        <v>88</v>
      </c>
      <c r="M99" s="5" t="str">
        <f>E99&amp;" "&amp;F99&amp;" "&amp;K99&amp;" "&amp;L99</f>
        <v>Popsicle Special Kesar Pista 50CAV 40ML</v>
      </c>
      <c r="N99" s="5">
        <f>COUNTIF(M:M,M99)</f>
        <v>1</v>
      </c>
    </row>
    <row r="100" spans="1:14" x14ac:dyDescent="0.35">
      <c r="A100" s="4">
        <v>140</v>
      </c>
      <c r="B100" s="5" t="s">
        <v>83</v>
      </c>
      <c r="C100" s="5" t="str">
        <f t="shared" si="3"/>
        <v>P140</v>
      </c>
      <c r="D100" s="5" t="s">
        <v>84</v>
      </c>
      <c r="E100" s="5" t="s">
        <v>101</v>
      </c>
      <c r="F100" s="5" t="s">
        <v>38</v>
      </c>
      <c r="G100" s="13">
        <v>35</v>
      </c>
      <c r="H100" s="9">
        <v>0.05</v>
      </c>
      <c r="I100" s="13">
        <f t="shared" si="4"/>
        <v>1.75</v>
      </c>
      <c r="J100" s="7">
        <f t="shared" si="5"/>
        <v>36.75</v>
      </c>
      <c r="K100" s="5" t="s">
        <v>87</v>
      </c>
      <c r="L100" s="5" t="s">
        <v>88</v>
      </c>
      <c r="M100" s="5" t="str">
        <f>E100&amp;" "&amp;F100&amp;" "&amp;K100&amp;" "&amp;L100</f>
        <v>Popsicle Special Kesar Badam Pista 50CAV 40ML</v>
      </c>
      <c r="N100" s="5">
        <f>COUNTIF(M:M,M100)</f>
        <v>1</v>
      </c>
    </row>
    <row r="101" spans="1:14" x14ac:dyDescent="0.35">
      <c r="A101" s="4">
        <v>141</v>
      </c>
      <c r="B101" s="5" t="s">
        <v>83</v>
      </c>
      <c r="C101" s="5" t="str">
        <f t="shared" si="3"/>
        <v>P141</v>
      </c>
      <c r="D101" s="5" t="s">
        <v>84</v>
      </c>
      <c r="E101" s="5" t="s">
        <v>101</v>
      </c>
      <c r="F101" s="5" t="s">
        <v>39</v>
      </c>
      <c r="G101" s="13">
        <v>35</v>
      </c>
      <c r="H101" s="9">
        <v>0.05</v>
      </c>
      <c r="I101" s="13">
        <f t="shared" si="4"/>
        <v>1.75</v>
      </c>
      <c r="J101" s="7">
        <f t="shared" si="5"/>
        <v>36.75</v>
      </c>
      <c r="K101" s="5" t="s">
        <v>87</v>
      </c>
      <c r="L101" s="5" t="s">
        <v>88</v>
      </c>
      <c r="M101" s="5" t="str">
        <f>E101&amp;" "&amp;F101&amp;" "&amp;K101&amp;" "&amp;L101</f>
        <v>Popsicle Special Almond Pista 50CAV 40ML</v>
      </c>
      <c r="N101" s="5">
        <f>COUNTIF(M:M,M101)</f>
        <v>1</v>
      </c>
    </row>
    <row r="102" spans="1:14" x14ac:dyDescent="0.35">
      <c r="A102" s="4">
        <v>142</v>
      </c>
      <c r="B102" s="5" t="s">
        <v>83</v>
      </c>
      <c r="C102" s="5" t="str">
        <f t="shared" si="3"/>
        <v>P142</v>
      </c>
      <c r="D102" s="5" t="s">
        <v>84</v>
      </c>
      <c r="E102" s="5" t="s">
        <v>101</v>
      </c>
      <c r="F102" s="5" t="s">
        <v>40</v>
      </c>
      <c r="G102" s="13">
        <v>35</v>
      </c>
      <c r="H102" s="9">
        <v>0.05</v>
      </c>
      <c r="I102" s="13">
        <f t="shared" si="4"/>
        <v>1.75</v>
      </c>
      <c r="J102" s="7">
        <f t="shared" si="5"/>
        <v>36.75</v>
      </c>
      <c r="K102" s="5" t="s">
        <v>87</v>
      </c>
      <c r="L102" s="5" t="s">
        <v>88</v>
      </c>
      <c r="M102" s="5" t="str">
        <f>E102&amp;" "&amp;F102&amp;" "&amp;K102&amp;" "&amp;L102</f>
        <v>Popsicle Special Gulab Jamun 50CAV 40ML</v>
      </c>
      <c r="N102" s="5">
        <f>COUNTIF(M:M,M102)</f>
        <v>1</v>
      </c>
    </row>
    <row r="103" spans="1:14" x14ac:dyDescent="0.35">
      <c r="A103" s="4">
        <v>143</v>
      </c>
      <c r="B103" s="5" t="s">
        <v>83</v>
      </c>
      <c r="C103" s="5" t="str">
        <f t="shared" si="3"/>
        <v>P143</v>
      </c>
      <c r="D103" s="5" t="s">
        <v>84</v>
      </c>
      <c r="E103" s="5" t="s">
        <v>101</v>
      </c>
      <c r="F103" s="5" t="s">
        <v>41</v>
      </c>
      <c r="G103" s="13">
        <v>35</v>
      </c>
      <c r="H103" s="9">
        <v>0.05</v>
      </c>
      <c r="I103" s="13">
        <f t="shared" si="4"/>
        <v>1.75</v>
      </c>
      <c r="J103" s="7">
        <f t="shared" si="5"/>
        <v>36.75</v>
      </c>
      <c r="K103" s="5" t="s">
        <v>87</v>
      </c>
      <c r="L103" s="5" t="s">
        <v>88</v>
      </c>
      <c r="M103" s="5" t="str">
        <f>E103&amp;" "&amp;F103&amp;" "&amp;K103&amp;" "&amp;L103</f>
        <v>Popsicle Special Basunthi 50CAV 40ML</v>
      </c>
      <c r="N103" s="5">
        <f>COUNTIF(M:M,M103)</f>
        <v>1</v>
      </c>
    </row>
    <row r="104" spans="1:14" x14ac:dyDescent="0.35">
      <c r="A104" s="4">
        <v>144</v>
      </c>
      <c r="B104" s="5" t="s">
        <v>83</v>
      </c>
      <c r="C104" s="5" t="str">
        <f t="shared" si="3"/>
        <v>P144</v>
      </c>
      <c r="D104" s="5" t="s">
        <v>84</v>
      </c>
      <c r="E104" s="5" t="s">
        <v>102</v>
      </c>
      <c r="F104" s="5" t="s">
        <v>24</v>
      </c>
      <c r="G104" s="13">
        <v>5</v>
      </c>
      <c r="H104" s="9">
        <v>0.05</v>
      </c>
      <c r="I104" s="13">
        <f t="shared" si="4"/>
        <v>0.25</v>
      </c>
      <c r="J104" s="7">
        <f t="shared" si="5"/>
        <v>5.25</v>
      </c>
      <c r="K104" s="5" t="s">
        <v>16</v>
      </c>
      <c r="L104" s="5" t="s">
        <v>103</v>
      </c>
      <c r="M104" s="5" t="str">
        <f>E104&amp;" "&amp;F104&amp;" "&amp;K104&amp;" "&amp;L104</f>
        <v>Popsicle Mini Butterscotch 42CAV 18ML</v>
      </c>
      <c r="N104" s="5">
        <f>COUNTIF(M:M,M104)</f>
        <v>1</v>
      </c>
    </row>
    <row r="105" spans="1:14" x14ac:dyDescent="0.35">
      <c r="A105" s="4">
        <v>145</v>
      </c>
      <c r="B105" s="5" t="s">
        <v>83</v>
      </c>
      <c r="C105" s="5" t="str">
        <f t="shared" si="3"/>
        <v>P145</v>
      </c>
      <c r="D105" s="5" t="s">
        <v>84</v>
      </c>
      <c r="E105" s="5" t="s">
        <v>102</v>
      </c>
      <c r="F105" s="5" t="s">
        <v>22</v>
      </c>
      <c r="G105" s="13">
        <v>5</v>
      </c>
      <c r="H105" s="9">
        <v>0.05</v>
      </c>
      <c r="I105" s="13">
        <f t="shared" si="4"/>
        <v>0.25</v>
      </c>
      <c r="J105" s="7">
        <f t="shared" si="5"/>
        <v>5.25</v>
      </c>
      <c r="K105" s="5" t="s">
        <v>16</v>
      </c>
      <c r="L105" s="5" t="s">
        <v>103</v>
      </c>
      <c r="M105" s="5" t="str">
        <f>E105&amp;" "&amp;F105&amp;" "&amp;K105&amp;" "&amp;L105</f>
        <v>Popsicle Mini Chocolate 42CAV 18ML</v>
      </c>
      <c r="N105" s="5">
        <f>COUNTIF(M:M,M105)</f>
        <v>1</v>
      </c>
    </row>
    <row r="106" spans="1:14" x14ac:dyDescent="0.35">
      <c r="A106" s="4">
        <v>146</v>
      </c>
      <c r="B106" s="5" t="s">
        <v>83</v>
      </c>
      <c r="C106" s="5" t="str">
        <f t="shared" si="3"/>
        <v>P146</v>
      </c>
      <c r="D106" s="5" t="s">
        <v>84</v>
      </c>
      <c r="E106" s="5" t="s">
        <v>102</v>
      </c>
      <c r="F106" s="5" t="s">
        <v>15</v>
      </c>
      <c r="G106" s="13">
        <v>5</v>
      </c>
      <c r="H106" s="9">
        <v>0.05</v>
      </c>
      <c r="I106" s="13">
        <f t="shared" si="4"/>
        <v>0.25</v>
      </c>
      <c r="J106" s="7">
        <f t="shared" si="5"/>
        <v>5.25</v>
      </c>
      <c r="K106" s="5" t="s">
        <v>16</v>
      </c>
      <c r="L106" s="5" t="s">
        <v>103</v>
      </c>
      <c r="M106" s="5" t="str">
        <f>E106&amp;" "&amp;F106&amp;" "&amp;K106&amp;" "&amp;L106</f>
        <v>Popsicle Mini Desi Malai 42CAV 18ML</v>
      </c>
      <c r="N106" s="5">
        <f>COUNTIF(M:M,M106)</f>
        <v>1</v>
      </c>
    </row>
    <row r="107" spans="1:14" x14ac:dyDescent="0.35">
      <c r="A107" s="4">
        <v>147</v>
      </c>
      <c r="B107" s="5" t="s">
        <v>83</v>
      </c>
      <c r="C107" s="5" t="str">
        <f t="shared" si="3"/>
        <v>P147</v>
      </c>
      <c r="D107" s="5" t="s">
        <v>84</v>
      </c>
      <c r="E107" s="5" t="s">
        <v>102</v>
      </c>
      <c r="F107" s="5" t="s">
        <v>104</v>
      </c>
      <c r="G107" s="13">
        <v>5</v>
      </c>
      <c r="H107" s="9">
        <v>0.05</v>
      </c>
      <c r="I107" s="13">
        <f t="shared" si="4"/>
        <v>0.25</v>
      </c>
      <c r="J107" s="7">
        <f t="shared" si="5"/>
        <v>5.25</v>
      </c>
      <c r="K107" s="5" t="s">
        <v>16</v>
      </c>
      <c r="L107" s="5" t="s">
        <v>103</v>
      </c>
      <c r="M107" s="5" t="str">
        <f>E107&amp;" "&amp;F107&amp;" "&amp;K107&amp;" "&amp;L107</f>
        <v>Popsicle Mini Rose 42CAV 18ML</v>
      </c>
      <c r="N107" s="5">
        <f>COUNTIF(M:M,M107)</f>
        <v>1</v>
      </c>
    </row>
    <row r="108" spans="1:14" x14ac:dyDescent="0.35">
      <c r="A108" s="4">
        <v>148</v>
      </c>
      <c r="B108" s="5" t="s">
        <v>83</v>
      </c>
      <c r="C108" s="5" t="str">
        <f t="shared" si="3"/>
        <v>P148</v>
      </c>
      <c r="D108" s="5" t="s">
        <v>84</v>
      </c>
      <c r="E108" s="5" t="s">
        <v>102</v>
      </c>
      <c r="F108" s="5" t="s">
        <v>25</v>
      </c>
      <c r="G108" s="13">
        <v>5</v>
      </c>
      <c r="H108" s="9">
        <v>0.05</v>
      </c>
      <c r="I108" s="13">
        <f t="shared" si="4"/>
        <v>0.25</v>
      </c>
      <c r="J108" s="7">
        <f t="shared" si="5"/>
        <v>5.25</v>
      </c>
      <c r="K108" s="5" t="s">
        <v>16</v>
      </c>
      <c r="L108" s="5" t="s">
        <v>103</v>
      </c>
      <c r="M108" s="5" t="str">
        <f>E108&amp;" "&amp;F108&amp;" "&amp;K108&amp;" "&amp;L108</f>
        <v>Popsicle Mini Tutti frutti 42CAV 18ML</v>
      </c>
      <c r="N108" s="5">
        <f>COUNTIF(M:M,M108)</f>
        <v>1</v>
      </c>
    </row>
    <row r="109" spans="1:14" x14ac:dyDescent="0.35">
      <c r="A109" s="4">
        <v>149</v>
      </c>
      <c r="B109" s="5" t="s">
        <v>83</v>
      </c>
      <c r="C109" s="5" t="str">
        <f t="shared" si="3"/>
        <v>P149</v>
      </c>
      <c r="D109" s="5" t="s">
        <v>84</v>
      </c>
      <c r="E109" s="5" t="s">
        <v>102</v>
      </c>
      <c r="F109" s="5" t="s">
        <v>96</v>
      </c>
      <c r="G109" s="13">
        <v>5</v>
      </c>
      <c r="H109" s="9">
        <v>0.05</v>
      </c>
      <c r="I109" s="13">
        <f t="shared" si="4"/>
        <v>0.25</v>
      </c>
      <c r="J109" s="7">
        <f t="shared" si="5"/>
        <v>5.25</v>
      </c>
      <c r="K109" s="5" t="s">
        <v>16</v>
      </c>
      <c r="L109" s="5" t="s">
        <v>103</v>
      </c>
      <c r="M109" s="5" t="str">
        <f>E109&amp;" "&amp;F109&amp;" "&amp;K109&amp;" "&amp;L109</f>
        <v>Popsicle Mini Vanilla 42CAV 18ML</v>
      </c>
      <c r="N109" s="5">
        <f>COUNTIF(M:M,M109)</f>
        <v>1</v>
      </c>
    </row>
    <row r="110" spans="1:14" x14ac:dyDescent="0.35">
      <c r="A110" s="4">
        <v>150</v>
      </c>
      <c r="B110" s="5" t="s">
        <v>83</v>
      </c>
      <c r="C110" s="5" t="str">
        <f t="shared" si="3"/>
        <v>P150</v>
      </c>
      <c r="D110" s="5" t="s">
        <v>84</v>
      </c>
      <c r="E110" s="5" t="s">
        <v>102</v>
      </c>
      <c r="F110" s="5" t="s">
        <v>21</v>
      </c>
      <c r="G110" s="13">
        <v>6</v>
      </c>
      <c r="H110" s="9">
        <v>0.05</v>
      </c>
      <c r="I110" s="13">
        <f t="shared" si="4"/>
        <v>0.30000000000000004</v>
      </c>
      <c r="J110" s="7">
        <f t="shared" si="5"/>
        <v>6.3</v>
      </c>
      <c r="K110" s="5" t="s">
        <v>16</v>
      </c>
      <c r="L110" s="5" t="s">
        <v>103</v>
      </c>
      <c r="M110" s="5" t="str">
        <f>E110&amp;" "&amp;F110&amp;" "&amp;K110&amp;" "&amp;L110</f>
        <v>Popsicle Mini Malai Badam 42CAV 18ML</v>
      </c>
      <c r="N110" s="5">
        <f>COUNTIF(M:M,M110)</f>
        <v>1</v>
      </c>
    </row>
    <row r="111" spans="1:14" x14ac:dyDescent="0.35">
      <c r="A111" s="4">
        <v>151</v>
      </c>
      <c r="B111" s="5" t="s">
        <v>83</v>
      </c>
      <c r="C111" s="5" t="str">
        <f t="shared" si="3"/>
        <v>P151</v>
      </c>
      <c r="D111" s="5" t="s">
        <v>84</v>
      </c>
      <c r="E111" s="5" t="s">
        <v>102</v>
      </c>
      <c r="F111" s="5" t="s">
        <v>105</v>
      </c>
      <c r="G111" s="13">
        <v>6</v>
      </c>
      <c r="H111" s="9">
        <v>0.05</v>
      </c>
      <c r="I111" s="13">
        <f t="shared" si="4"/>
        <v>0.30000000000000004</v>
      </c>
      <c r="J111" s="7">
        <f t="shared" si="5"/>
        <v>6.3</v>
      </c>
      <c r="K111" s="5" t="s">
        <v>16</v>
      </c>
      <c r="L111" s="5" t="s">
        <v>103</v>
      </c>
      <c r="M111" s="5" t="str">
        <f>E111&amp;" "&amp;F111&amp;" "&amp;K111&amp;" "&amp;L111</f>
        <v>Popsicle Mini Pista 42CAV 18ML</v>
      </c>
      <c r="N111" s="5">
        <f>COUNTIF(M:M,M111)</f>
        <v>1</v>
      </c>
    </row>
    <row r="112" spans="1:14" x14ac:dyDescent="0.35">
      <c r="A112" s="4">
        <v>152</v>
      </c>
      <c r="B112" s="5" t="s">
        <v>83</v>
      </c>
      <c r="C112" s="5" t="str">
        <f t="shared" si="3"/>
        <v>P152</v>
      </c>
      <c r="D112" s="5" t="s">
        <v>84</v>
      </c>
      <c r="E112" s="5" t="s">
        <v>102</v>
      </c>
      <c r="F112" s="5" t="s">
        <v>106</v>
      </c>
      <c r="G112" s="13">
        <v>7</v>
      </c>
      <c r="H112" s="9">
        <v>0.05</v>
      </c>
      <c r="I112" s="13">
        <f t="shared" si="4"/>
        <v>0.35000000000000003</v>
      </c>
      <c r="J112" s="7">
        <f t="shared" si="5"/>
        <v>7.35</v>
      </c>
      <c r="K112" s="5" t="s">
        <v>16</v>
      </c>
      <c r="L112" s="5" t="s">
        <v>103</v>
      </c>
      <c r="M112" s="5" t="str">
        <f>E112&amp;" "&amp;F112&amp;" "&amp;K112&amp;" "&amp;L112</f>
        <v>Popsicle Mini Guva 42CAV 18ML</v>
      </c>
      <c r="N112" s="5">
        <f>COUNTIF(M:M,M112)</f>
        <v>1</v>
      </c>
    </row>
    <row r="113" spans="1:14" x14ac:dyDescent="0.35">
      <c r="A113" s="4">
        <v>153</v>
      </c>
      <c r="B113" s="5" t="s">
        <v>83</v>
      </c>
      <c r="C113" s="5" t="str">
        <f t="shared" si="3"/>
        <v>P153</v>
      </c>
      <c r="D113" s="5" t="s">
        <v>84</v>
      </c>
      <c r="E113" s="5" t="s">
        <v>102</v>
      </c>
      <c r="F113" s="5" t="s">
        <v>57</v>
      </c>
      <c r="G113" s="13">
        <v>7</v>
      </c>
      <c r="H113" s="9">
        <v>0.05</v>
      </c>
      <c r="I113" s="13">
        <f t="shared" si="4"/>
        <v>0.35000000000000003</v>
      </c>
      <c r="J113" s="7">
        <f t="shared" si="5"/>
        <v>7.35</v>
      </c>
      <c r="K113" s="5" t="s">
        <v>16</v>
      </c>
      <c r="L113" s="5" t="s">
        <v>103</v>
      </c>
      <c r="M113" s="5" t="str">
        <f>E113&amp;" "&amp;F113&amp;" "&amp;K113&amp;" "&amp;L113</f>
        <v>Popsicle Mini Mango 42CAV 18ML</v>
      </c>
      <c r="N113" s="5">
        <f>COUNTIF(M:M,M113)</f>
        <v>1</v>
      </c>
    </row>
    <row r="114" spans="1:14" x14ac:dyDescent="0.35">
      <c r="A114" s="4">
        <v>154</v>
      </c>
      <c r="B114" s="5" t="s">
        <v>83</v>
      </c>
      <c r="C114" s="5" t="str">
        <f t="shared" si="3"/>
        <v>P154</v>
      </c>
      <c r="D114" s="5" t="s">
        <v>84</v>
      </c>
      <c r="E114" s="5" t="s">
        <v>102</v>
      </c>
      <c r="F114" s="5" t="s">
        <v>58</v>
      </c>
      <c r="G114" s="13">
        <v>7</v>
      </c>
      <c r="H114" s="9">
        <v>0.05</v>
      </c>
      <c r="I114" s="13">
        <f t="shared" si="4"/>
        <v>0.35000000000000003</v>
      </c>
      <c r="J114" s="7">
        <f t="shared" si="5"/>
        <v>7.35</v>
      </c>
      <c r="K114" s="5" t="s">
        <v>16</v>
      </c>
      <c r="L114" s="5" t="s">
        <v>103</v>
      </c>
      <c r="M114" s="5" t="str">
        <f>E114&amp;" "&amp;F114&amp;" "&amp;K114&amp;" "&amp;L114</f>
        <v>Popsicle Mini Mixed Berry 42CAV 18ML</v>
      </c>
      <c r="N114" s="5">
        <f>COUNTIF(M:M,M114)</f>
        <v>1</v>
      </c>
    </row>
    <row r="115" spans="1:14" x14ac:dyDescent="0.35">
      <c r="A115" s="4">
        <v>155</v>
      </c>
      <c r="B115" s="5" t="s">
        <v>83</v>
      </c>
      <c r="C115" s="5" t="str">
        <f t="shared" si="3"/>
        <v>P155</v>
      </c>
      <c r="D115" s="5" t="s">
        <v>84</v>
      </c>
      <c r="E115" s="5" t="s">
        <v>102</v>
      </c>
      <c r="F115" s="5" t="s">
        <v>29</v>
      </c>
      <c r="G115" s="13">
        <v>7</v>
      </c>
      <c r="H115" s="9">
        <v>0.05</v>
      </c>
      <c r="I115" s="13">
        <f t="shared" si="4"/>
        <v>0.35000000000000003</v>
      </c>
      <c r="J115" s="7">
        <f t="shared" si="5"/>
        <v>7.35</v>
      </c>
      <c r="K115" s="5" t="s">
        <v>16</v>
      </c>
      <c r="L115" s="5" t="s">
        <v>103</v>
      </c>
      <c r="M115" s="5" t="str">
        <f>E115&amp;" "&amp;F115&amp;" "&amp;K115&amp;" "&amp;L115</f>
        <v>Popsicle Mini Strawberry 42CAV 18ML</v>
      </c>
      <c r="N115" s="5">
        <f>COUNTIF(M:M,M115)</f>
        <v>1</v>
      </c>
    </row>
    <row r="116" spans="1:14" x14ac:dyDescent="0.35">
      <c r="A116" s="4">
        <v>156</v>
      </c>
      <c r="B116" s="5" t="s">
        <v>83</v>
      </c>
      <c r="C116" s="5" t="str">
        <f t="shared" si="3"/>
        <v>P156</v>
      </c>
      <c r="D116" s="5" t="s">
        <v>84</v>
      </c>
      <c r="E116" s="5" t="s">
        <v>102</v>
      </c>
      <c r="F116" s="5" t="s">
        <v>48</v>
      </c>
      <c r="G116" s="13">
        <v>8</v>
      </c>
      <c r="H116" s="9">
        <v>0.05</v>
      </c>
      <c r="I116" s="13">
        <f t="shared" si="4"/>
        <v>0.4</v>
      </c>
      <c r="J116" s="7">
        <f t="shared" si="5"/>
        <v>8.4</v>
      </c>
      <c r="K116" s="5" t="s">
        <v>16</v>
      </c>
      <c r="L116" s="5" t="s">
        <v>103</v>
      </c>
      <c r="M116" s="5" t="str">
        <f>E116&amp;" "&amp;F116&amp;" "&amp;K116&amp;" "&amp;L116</f>
        <v>Popsicle Mini Biscoff 42CAV 18ML</v>
      </c>
      <c r="N116" s="5">
        <f>COUNTIF(M:M,M116)</f>
        <v>1</v>
      </c>
    </row>
    <row r="117" spans="1:14" x14ac:dyDescent="0.35">
      <c r="A117" s="4">
        <v>157</v>
      </c>
      <c r="B117" s="5" t="s">
        <v>83</v>
      </c>
      <c r="C117" s="5" t="str">
        <f t="shared" si="3"/>
        <v>P157</v>
      </c>
      <c r="D117" s="5" t="s">
        <v>84</v>
      </c>
      <c r="E117" s="5" t="s">
        <v>102</v>
      </c>
      <c r="F117" s="5" t="s">
        <v>43</v>
      </c>
      <c r="G117" s="13">
        <v>8</v>
      </c>
      <c r="H117" s="9">
        <v>0.05</v>
      </c>
      <c r="I117" s="13">
        <f t="shared" si="4"/>
        <v>0.4</v>
      </c>
      <c r="J117" s="7">
        <f t="shared" si="5"/>
        <v>8.4</v>
      </c>
      <c r="K117" s="5" t="s">
        <v>16</v>
      </c>
      <c r="L117" s="5" t="s">
        <v>103</v>
      </c>
      <c r="M117" s="5" t="str">
        <f>E117&amp;" "&amp;F117&amp;" "&amp;K117&amp;" "&amp;L117</f>
        <v>Popsicle Mini Brownie Choco 42CAV 18ML</v>
      </c>
      <c r="N117" s="5">
        <f>COUNTIF(M:M,M117)</f>
        <v>1</v>
      </c>
    </row>
    <row r="118" spans="1:14" x14ac:dyDescent="0.35">
      <c r="A118" s="4">
        <v>158</v>
      </c>
      <c r="B118" s="5" t="s">
        <v>83</v>
      </c>
      <c r="C118" s="5" t="str">
        <f t="shared" si="3"/>
        <v>P158</v>
      </c>
      <c r="D118" s="5" t="s">
        <v>84</v>
      </c>
      <c r="E118" s="5" t="s">
        <v>102</v>
      </c>
      <c r="F118" s="5" t="s">
        <v>107</v>
      </c>
      <c r="G118" s="13">
        <v>8</v>
      </c>
      <c r="H118" s="9">
        <v>0.05</v>
      </c>
      <c r="I118" s="13">
        <f t="shared" si="4"/>
        <v>0.4</v>
      </c>
      <c r="J118" s="7">
        <f t="shared" si="5"/>
        <v>8.4</v>
      </c>
      <c r="K118" s="5" t="s">
        <v>16</v>
      </c>
      <c r="L118" s="5" t="s">
        <v>103</v>
      </c>
      <c r="M118" s="5" t="str">
        <f>E118&amp;" "&amp;F118&amp;" "&amp;K118&amp;" "&amp;L118</f>
        <v>Popsicle Mini Salted Carmel 42CAV 18ML</v>
      </c>
      <c r="N118" s="5">
        <f>COUNTIF(M:M,M118)</f>
        <v>1</v>
      </c>
    </row>
    <row r="119" spans="1:14" x14ac:dyDescent="0.35">
      <c r="A119" s="4">
        <v>159</v>
      </c>
      <c r="B119" s="5" t="s">
        <v>83</v>
      </c>
      <c r="C119" s="5" t="str">
        <f t="shared" si="3"/>
        <v>P159</v>
      </c>
      <c r="D119" s="5" t="s">
        <v>84</v>
      </c>
      <c r="E119" s="5" t="s">
        <v>102</v>
      </c>
      <c r="F119" s="5" t="s">
        <v>44</v>
      </c>
      <c r="G119" s="13">
        <v>8</v>
      </c>
      <c r="H119" s="9">
        <v>0.05</v>
      </c>
      <c r="I119" s="13">
        <f t="shared" si="4"/>
        <v>0.4</v>
      </c>
      <c r="J119" s="7">
        <f t="shared" si="5"/>
        <v>8.4</v>
      </c>
      <c r="K119" s="5" t="s">
        <v>16</v>
      </c>
      <c r="L119" s="5" t="s">
        <v>103</v>
      </c>
      <c r="M119" s="5" t="str">
        <f>E119&amp;" "&amp;F119&amp;" "&amp;K119&amp;" "&amp;L119</f>
        <v>Popsicle Mini Redvelvet 42CAV 18ML</v>
      </c>
      <c r="N119" s="5">
        <f>COUNTIF(M:M,M119)</f>
        <v>1</v>
      </c>
    </row>
    <row r="120" spans="1:14" x14ac:dyDescent="0.35">
      <c r="A120" s="4">
        <v>101</v>
      </c>
      <c r="B120" s="5" t="s">
        <v>110</v>
      </c>
      <c r="C120" s="5" t="str">
        <f>B120&amp;A120</f>
        <v>BG101</v>
      </c>
      <c r="D120" s="4" t="s">
        <v>111</v>
      </c>
      <c r="E120" s="5" t="s">
        <v>112</v>
      </c>
      <c r="F120" s="5" t="s">
        <v>96</v>
      </c>
      <c r="G120" s="13">
        <v>370</v>
      </c>
      <c r="H120" s="9">
        <v>0.05</v>
      </c>
      <c r="I120" s="13">
        <f>G120*H120</f>
        <v>18.5</v>
      </c>
      <c r="J120" s="13">
        <f>G120+I120</f>
        <v>388.5</v>
      </c>
      <c r="K120" s="6" t="s">
        <v>113</v>
      </c>
      <c r="L120" s="5" t="s">
        <v>114</v>
      </c>
      <c r="M120" s="5" t="str">
        <f>E120&amp;" "&amp;F120&amp;" "&amp;K120&amp;" "&amp;L120</f>
        <v>Classic Cream Gallon Vanilla 1Nos 4Ltr</v>
      </c>
      <c r="N120" s="5">
        <f>COUNTIF(M:M,M120)</f>
        <v>1</v>
      </c>
    </row>
    <row r="121" spans="1:14" x14ac:dyDescent="0.35">
      <c r="A121" s="4">
        <v>102</v>
      </c>
      <c r="B121" s="5" t="s">
        <v>110</v>
      </c>
      <c r="C121" s="5" t="str">
        <f>B121&amp;A121</f>
        <v>BG102</v>
      </c>
      <c r="D121" s="4" t="s">
        <v>111</v>
      </c>
      <c r="E121" s="5" t="s">
        <v>112</v>
      </c>
      <c r="F121" s="5" t="s">
        <v>29</v>
      </c>
      <c r="G121" s="13">
        <v>365</v>
      </c>
      <c r="H121" s="9">
        <v>0.05</v>
      </c>
      <c r="I121" s="13">
        <f t="shared" ref="I121:I184" si="6">G121*H121</f>
        <v>18.25</v>
      </c>
      <c r="J121" s="13">
        <f t="shared" ref="J121:J184" si="7">G121+I121</f>
        <v>383.25</v>
      </c>
      <c r="K121" s="6" t="s">
        <v>113</v>
      </c>
      <c r="L121" s="5" t="s">
        <v>114</v>
      </c>
      <c r="M121" s="5" t="str">
        <f>E121&amp;" "&amp;F121&amp;" "&amp;K121&amp;" "&amp;L121</f>
        <v>Classic Cream Gallon Strawberry 1Nos 4Ltr</v>
      </c>
      <c r="N121" s="5">
        <f>COUNTIF(M:M,M121)</f>
        <v>1</v>
      </c>
    </row>
    <row r="122" spans="1:14" x14ac:dyDescent="0.35">
      <c r="A122" s="4">
        <v>103</v>
      </c>
      <c r="B122" s="5" t="s">
        <v>110</v>
      </c>
      <c r="C122" s="5" t="str">
        <f>B122&amp;A122</f>
        <v>BG103</v>
      </c>
      <c r="D122" s="4" t="s">
        <v>111</v>
      </c>
      <c r="E122" s="5" t="s">
        <v>112</v>
      </c>
      <c r="F122" s="5" t="s">
        <v>24</v>
      </c>
      <c r="G122" s="13">
        <v>550</v>
      </c>
      <c r="H122" s="9">
        <v>0.05</v>
      </c>
      <c r="I122" s="13">
        <f t="shared" si="6"/>
        <v>27.5</v>
      </c>
      <c r="J122" s="13">
        <f t="shared" si="7"/>
        <v>577.5</v>
      </c>
      <c r="K122" s="6" t="s">
        <v>113</v>
      </c>
      <c r="L122" s="5" t="s">
        <v>114</v>
      </c>
      <c r="M122" s="5" t="str">
        <f>E122&amp;" "&amp;F122&amp;" "&amp;K122&amp;" "&amp;L122</f>
        <v>Classic Cream Gallon Butterscotch 1Nos 4Ltr</v>
      </c>
      <c r="N122" s="5">
        <f>COUNTIF(M:M,M122)</f>
        <v>1</v>
      </c>
    </row>
    <row r="123" spans="1:14" x14ac:dyDescent="0.35">
      <c r="A123" s="4">
        <v>104</v>
      </c>
      <c r="B123" s="5" t="s">
        <v>110</v>
      </c>
      <c r="C123" s="5" t="str">
        <f>B123&amp;A123</f>
        <v>BG104</v>
      </c>
      <c r="D123" s="4" t="s">
        <v>111</v>
      </c>
      <c r="E123" s="5" t="s">
        <v>112</v>
      </c>
      <c r="F123" s="5" t="s">
        <v>22</v>
      </c>
      <c r="G123" s="13">
        <v>575</v>
      </c>
      <c r="H123" s="9">
        <v>0.05</v>
      </c>
      <c r="I123" s="13">
        <f t="shared" si="6"/>
        <v>28.75</v>
      </c>
      <c r="J123" s="13">
        <f t="shared" si="7"/>
        <v>603.75</v>
      </c>
      <c r="K123" s="6" t="s">
        <v>113</v>
      </c>
      <c r="L123" s="5" t="s">
        <v>114</v>
      </c>
      <c r="M123" s="5" t="str">
        <f>E123&amp;" "&amp;F123&amp;" "&amp;K123&amp;" "&amp;L123</f>
        <v>Classic Cream Gallon Chocolate 1Nos 4Ltr</v>
      </c>
      <c r="N123" s="5">
        <f>COUNTIF(M:M,M123)</f>
        <v>1</v>
      </c>
    </row>
    <row r="124" spans="1:14" x14ac:dyDescent="0.35">
      <c r="A124" s="4">
        <v>105</v>
      </c>
      <c r="B124" s="5" t="s">
        <v>110</v>
      </c>
      <c r="C124" s="5" t="str">
        <f>B124&amp;A124</f>
        <v>BG105</v>
      </c>
      <c r="D124" s="4" t="s">
        <v>111</v>
      </c>
      <c r="E124" s="5" t="s">
        <v>112</v>
      </c>
      <c r="F124" s="5" t="s">
        <v>57</v>
      </c>
      <c r="G124" s="13">
        <v>575</v>
      </c>
      <c r="H124" s="9">
        <v>0.05</v>
      </c>
      <c r="I124" s="13">
        <f t="shared" si="6"/>
        <v>28.75</v>
      </c>
      <c r="J124" s="13">
        <f t="shared" si="7"/>
        <v>603.75</v>
      </c>
      <c r="K124" s="6" t="s">
        <v>113</v>
      </c>
      <c r="L124" s="5" t="s">
        <v>114</v>
      </c>
      <c r="M124" s="5" t="str">
        <f>E124&amp;" "&amp;F124&amp;" "&amp;K124&amp;" "&amp;L124</f>
        <v>Classic Cream Gallon Mango 1Nos 4Ltr</v>
      </c>
      <c r="N124" s="5">
        <f>COUNTIF(M:M,M124)</f>
        <v>1</v>
      </c>
    </row>
    <row r="125" spans="1:14" x14ac:dyDescent="0.35">
      <c r="A125" s="4">
        <v>106</v>
      </c>
      <c r="B125" s="5" t="s">
        <v>110</v>
      </c>
      <c r="C125" s="5" t="str">
        <f>B125&amp;A125</f>
        <v>BG106</v>
      </c>
      <c r="D125" s="4" t="s">
        <v>111</v>
      </c>
      <c r="E125" s="5" t="s">
        <v>112</v>
      </c>
      <c r="F125" s="5" t="s">
        <v>31</v>
      </c>
      <c r="G125" s="13">
        <v>575</v>
      </c>
      <c r="H125" s="9">
        <v>0.05</v>
      </c>
      <c r="I125" s="13">
        <f t="shared" si="6"/>
        <v>28.75</v>
      </c>
      <c r="J125" s="13">
        <f t="shared" si="7"/>
        <v>603.75</v>
      </c>
      <c r="K125" s="6" t="s">
        <v>113</v>
      </c>
      <c r="L125" s="5" t="s">
        <v>114</v>
      </c>
      <c r="M125" s="5" t="str">
        <f>E125&amp;" "&amp;F125&amp;" "&amp;K125&amp;" "&amp;L125</f>
        <v>Classic Cream Gallon Blackcurrant 1Nos 4Ltr</v>
      </c>
      <c r="N125" s="5">
        <f>COUNTIF(M:M,M125)</f>
        <v>1</v>
      </c>
    </row>
    <row r="126" spans="1:14" x14ac:dyDescent="0.35">
      <c r="A126" s="4">
        <v>107</v>
      </c>
      <c r="B126" s="5" t="s">
        <v>110</v>
      </c>
      <c r="C126" s="5" t="str">
        <f>B126&amp;A126</f>
        <v>BG107</v>
      </c>
      <c r="D126" s="4" t="s">
        <v>111</v>
      </c>
      <c r="E126" s="5" t="s">
        <v>112</v>
      </c>
      <c r="F126" s="5" t="s">
        <v>25</v>
      </c>
      <c r="G126" s="13">
        <v>575</v>
      </c>
      <c r="H126" s="9">
        <v>0.05</v>
      </c>
      <c r="I126" s="13">
        <f t="shared" si="6"/>
        <v>28.75</v>
      </c>
      <c r="J126" s="13">
        <f t="shared" si="7"/>
        <v>603.75</v>
      </c>
      <c r="K126" s="6" t="s">
        <v>113</v>
      </c>
      <c r="L126" s="5" t="s">
        <v>114</v>
      </c>
      <c r="M126" s="5" t="str">
        <f>E126&amp;" "&amp;F126&amp;" "&amp;K126&amp;" "&amp;L126</f>
        <v>Classic Cream Gallon Tutti frutti 1Nos 4Ltr</v>
      </c>
      <c r="N126" s="5">
        <f>COUNTIF(M:M,M126)</f>
        <v>1</v>
      </c>
    </row>
    <row r="127" spans="1:14" x14ac:dyDescent="0.35">
      <c r="A127" s="4">
        <v>108</v>
      </c>
      <c r="B127" s="5" t="s">
        <v>110</v>
      </c>
      <c r="C127" s="5" t="str">
        <f>B127&amp;A127</f>
        <v>BG108</v>
      </c>
      <c r="D127" s="4" t="s">
        <v>111</v>
      </c>
      <c r="E127" s="5" t="s">
        <v>112</v>
      </c>
      <c r="F127" s="5" t="s">
        <v>115</v>
      </c>
      <c r="G127" s="13">
        <v>600</v>
      </c>
      <c r="H127" s="9">
        <v>0.05</v>
      </c>
      <c r="I127" s="13">
        <f t="shared" si="6"/>
        <v>30</v>
      </c>
      <c r="J127" s="13">
        <f t="shared" si="7"/>
        <v>630</v>
      </c>
      <c r="K127" s="6" t="s">
        <v>113</v>
      </c>
      <c r="L127" s="5" t="s">
        <v>114</v>
      </c>
      <c r="M127" s="5" t="str">
        <f>E127&amp;" "&amp;F127&amp;" "&amp;K127&amp;" "&amp;L127</f>
        <v>Classic Cream Gallon Rose Petals 1Nos 4Ltr</v>
      </c>
      <c r="N127" s="5">
        <f>COUNTIF(M:M,M127)</f>
        <v>1</v>
      </c>
    </row>
    <row r="128" spans="1:14" x14ac:dyDescent="0.35">
      <c r="A128" s="4">
        <v>109</v>
      </c>
      <c r="B128" s="5" t="s">
        <v>110</v>
      </c>
      <c r="C128" s="5" t="str">
        <f>B128&amp;A128</f>
        <v>BG109</v>
      </c>
      <c r="D128" s="4" t="s">
        <v>111</v>
      </c>
      <c r="E128" s="5" t="s">
        <v>112</v>
      </c>
      <c r="F128" s="5" t="s">
        <v>105</v>
      </c>
      <c r="G128" s="13">
        <v>600</v>
      </c>
      <c r="H128" s="9">
        <v>0.05</v>
      </c>
      <c r="I128" s="13">
        <f t="shared" si="6"/>
        <v>30</v>
      </c>
      <c r="J128" s="13">
        <f t="shared" si="7"/>
        <v>630</v>
      </c>
      <c r="K128" s="6" t="s">
        <v>113</v>
      </c>
      <c r="L128" s="5" t="s">
        <v>114</v>
      </c>
      <c r="M128" s="5" t="str">
        <f>E128&amp;" "&amp;F128&amp;" "&amp;K128&amp;" "&amp;L128</f>
        <v>Classic Cream Gallon Pista 1Nos 4Ltr</v>
      </c>
      <c r="N128" s="5">
        <f>COUNTIF(M:M,M128)</f>
        <v>1</v>
      </c>
    </row>
    <row r="129" spans="1:14" x14ac:dyDescent="0.35">
      <c r="A129" s="4">
        <v>110</v>
      </c>
      <c r="B129" s="5" t="s">
        <v>110</v>
      </c>
      <c r="C129" s="5" t="str">
        <f>B129&amp;A129</f>
        <v>BG110</v>
      </c>
      <c r="D129" s="4" t="s">
        <v>111</v>
      </c>
      <c r="E129" s="5" t="s">
        <v>112</v>
      </c>
      <c r="F129" s="5" t="s">
        <v>116</v>
      </c>
      <c r="G129" s="13">
        <v>650</v>
      </c>
      <c r="H129" s="9">
        <v>0.05</v>
      </c>
      <c r="I129" s="13">
        <f t="shared" si="6"/>
        <v>32.5</v>
      </c>
      <c r="J129" s="13">
        <f t="shared" si="7"/>
        <v>682.5</v>
      </c>
      <c r="K129" s="6" t="s">
        <v>113</v>
      </c>
      <c r="L129" s="5" t="s">
        <v>114</v>
      </c>
      <c r="M129" s="5" t="str">
        <f>E129&amp;" "&amp;F129&amp;" "&amp;K129&amp;" "&amp;L129</f>
        <v>Classic Cream Gallon Madras Coffee  1Nos 4Ltr</v>
      </c>
      <c r="N129" s="5">
        <f>COUNTIF(M:M,M129)</f>
        <v>1</v>
      </c>
    </row>
    <row r="130" spans="1:14" x14ac:dyDescent="0.35">
      <c r="A130" s="4">
        <v>111</v>
      </c>
      <c r="B130" s="5" t="s">
        <v>110</v>
      </c>
      <c r="C130" s="5" t="str">
        <f>B130&amp;A130</f>
        <v>BG111</v>
      </c>
      <c r="D130" s="4" t="s">
        <v>111</v>
      </c>
      <c r="E130" s="5" t="s">
        <v>112</v>
      </c>
      <c r="F130" s="5" t="s">
        <v>117</v>
      </c>
      <c r="G130" s="13">
        <v>650</v>
      </c>
      <c r="H130" s="9">
        <v>0.05</v>
      </c>
      <c r="I130" s="13">
        <f t="shared" si="6"/>
        <v>32.5</v>
      </c>
      <c r="J130" s="13">
        <f t="shared" si="7"/>
        <v>682.5</v>
      </c>
      <c r="K130" s="6" t="s">
        <v>113</v>
      </c>
      <c r="L130" s="5" t="s">
        <v>114</v>
      </c>
      <c r="M130" s="5" t="str">
        <f>E130&amp;" "&amp;F130&amp;" "&amp;K130&amp;" "&amp;L130</f>
        <v>Classic Cream Gallon Chocolate Chips 1Nos 4Ltr</v>
      </c>
      <c r="N130" s="5">
        <f>COUNTIF(M:M,M130)</f>
        <v>1</v>
      </c>
    </row>
    <row r="131" spans="1:14" x14ac:dyDescent="0.35">
      <c r="A131" s="4">
        <v>112</v>
      </c>
      <c r="B131" s="5" t="s">
        <v>110</v>
      </c>
      <c r="C131" s="5" t="str">
        <f>B131&amp;A131</f>
        <v>BG112</v>
      </c>
      <c r="D131" s="4" t="s">
        <v>111</v>
      </c>
      <c r="E131" s="5" t="s">
        <v>112</v>
      </c>
      <c r="F131" s="5" t="s">
        <v>15</v>
      </c>
      <c r="G131" s="13">
        <v>650</v>
      </c>
      <c r="H131" s="9">
        <v>0.05</v>
      </c>
      <c r="I131" s="13">
        <f t="shared" si="6"/>
        <v>32.5</v>
      </c>
      <c r="J131" s="13">
        <f t="shared" si="7"/>
        <v>682.5</v>
      </c>
      <c r="K131" s="6" t="s">
        <v>113</v>
      </c>
      <c r="L131" s="5" t="s">
        <v>114</v>
      </c>
      <c r="M131" s="5" t="str">
        <f>E131&amp;" "&amp;F131&amp;" "&amp;K131&amp;" "&amp;L131</f>
        <v>Classic Cream Gallon Desi Malai 1Nos 4Ltr</v>
      </c>
      <c r="N131" s="5">
        <f>COUNTIF(M:M,M131)</f>
        <v>1</v>
      </c>
    </row>
    <row r="132" spans="1:14" x14ac:dyDescent="0.35">
      <c r="A132" s="4">
        <v>201</v>
      </c>
      <c r="B132" s="5" t="s">
        <v>110</v>
      </c>
      <c r="C132" s="5" t="str">
        <f>B132&amp;A132</f>
        <v>BG201</v>
      </c>
      <c r="D132" s="4" t="s">
        <v>111</v>
      </c>
      <c r="E132" s="5" t="s">
        <v>118</v>
      </c>
      <c r="F132" s="5" t="s">
        <v>36</v>
      </c>
      <c r="G132" s="13">
        <v>900</v>
      </c>
      <c r="H132" s="9">
        <v>0.05</v>
      </c>
      <c r="I132" s="13">
        <f t="shared" si="6"/>
        <v>45</v>
      </c>
      <c r="J132" s="13">
        <f t="shared" si="7"/>
        <v>945</v>
      </c>
      <c r="K132" s="6" t="s">
        <v>113</v>
      </c>
      <c r="L132" s="5" t="s">
        <v>114</v>
      </c>
      <c r="M132" s="5" t="str">
        <f>E132&amp;" "&amp;F132&amp;" "&amp;K132&amp;" "&amp;L132</f>
        <v>Premium Gallon Dry Fruit 1Nos 4Ltr</v>
      </c>
      <c r="N132" s="5">
        <f>COUNTIF(M:M,M132)</f>
        <v>1</v>
      </c>
    </row>
    <row r="133" spans="1:14" x14ac:dyDescent="0.35">
      <c r="A133" s="4">
        <v>202</v>
      </c>
      <c r="B133" s="5" t="s">
        <v>110</v>
      </c>
      <c r="C133" s="5" t="str">
        <f>B133&amp;A133</f>
        <v>BG202</v>
      </c>
      <c r="D133" s="4" t="s">
        <v>111</v>
      </c>
      <c r="E133" s="5" t="s">
        <v>118</v>
      </c>
      <c r="F133" s="5" t="s">
        <v>119</v>
      </c>
      <c r="G133" s="13">
        <v>900</v>
      </c>
      <c r="H133" s="9">
        <v>0.05</v>
      </c>
      <c r="I133" s="13">
        <f t="shared" si="6"/>
        <v>45</v>
      </c>
      <c r="J133" s="13">
        <f t="shared" si="7"/>
        <v>945</v>
      </c>
      <c r="K133" s="6" t="s">
        <v>113</v>
      </c>
      <c r="L133" s="5" t="s">
        <v>114</v>
      </c>
      <c r="M133" s="5" t="str">
        <f>E133&amp;" "&amp;F133&amp;" "&amp;K133&amp;" "&amp;L133</f>
        <v>Premium Gallon Rose and Almound 1Nos 4Ltr</v>
      </c>
      <c r="N133" s="5">
        <f>COUNTIF(M:M,M133)</f>
        <v>1</v>
      </c>
    </row>
    <row r="134" spans="1:14" x14ac:dyDescent="0.35">
      <c r="A134" s="4">
        <v>203</v>
      </c>
      <c r="B134" s="5" t="s">
        <v>110</v>
      </c>
      <c r="C134" s="5" t="str">
        <f>B134&amp;A134</f>
        <v>BG203</v>
      </c>
      <c r="D134" s="4" t="s">
        <v>111</v>
      </c>
      <c r="E134" s="5" t="s">
        <v>118</v>
      </c>
      <c r="F134" s="5" t="s">
        <v>120</v>
      </c>
      <c r="G134" s="13">
        <v>900</v>
      </c>
      <c r="H134" s="9">
        <v>0.05</v>
      </c>
      <c r="I134" s="13">
        <f t="shared" si="6"/>
        <v>45</v>
      </c>
      <c r="J134" s="13">
        <f t="shared" si="7"/>
        <v>945</v>
      </c>
      <c r="K134" s="6" t="s">
        <v>113</v>
      </c>
      <c r="L134" s="5" t="s">
        <v>114</v>
      </c>
      <c r="M134" s="5" t="str">
        <f>E134&amp;" "&amp;F134&amp;" "&amp;K134&amp;" "&amp;L134</f>
        <v>Premium Gallon Honey and Fig 1Nos 4Ltr</v>
      </c>
      <c r="N134" s="5">
        <f>COUNTIF(M:M,M134)</f>
        <v>1</v>
      </c>
    </row>
    <row r="135" spans="1:14" x14ac:dyDescent="0.35">
      <c r="A135" s="4">
        <v>204</v>
      </c>
      <c r="B135" s="5" t="s">
        <v>110</v>
      </c>
      <c r="C135" s="5" t="str">
        <f>B135&amp;A135</f>
        <v>BG204</v>
      </c>
      <c r="D135" s="4" t="s">
        <v>111</v>
      </c>
      <c r="E135" s="5" t="s">
        <v>118</v>
      </c>
      <c r="F135" s="5" t="s">
        <v>121</v>
      </c>
      <c r="G135" s="13">
        <v>900</v>
      </c>
      <c r="H135" s="9">
        <v>0.05</v>
      </c>
      <c r="I135" s="13">
        <f t="shared" si="6"/>
        <v>45</v>
      </c>
      <c r="J135" s="13">
        <f t="shared" si="7"/>
        <v>945</v>
      </c>
      <c r="K135" s="6" t="s">
        <v>113</v>
      </c>
      <c r="L135" s="5" t="s">
        <v>114</v>
      </c>
      <c r="M135" s="5" t="str">
        <f>E135&amp;" "&amp;F135&amp;" "&amp;K135&amp;" "&amp;L135</f>
        <v>Premium Gallon Rosted Almound Choco 1Nos 4Ltr</v>
      </c>
      <c r="N135" s="5">
        <f>COUNTIF(M:M,M135)</f>
        <v>1</v>
      </c>
    </row>
    <row r="136" spans="1:14" x14ac:dyDescent="0.35">
      <c r="A136" s="4">
        <v>205</v>
      </c>
      <c r="B136" s="5" t="s">
        <v>110</v>
      </c>
      <c r="C136" s="5" t="str">
        <f>B136&amp;A136</f>
        <v>BG205</v>
      </c>
      <c r="D136" s="4" t="s">
        <v>111</v>
      </c>
      <c r="E136" s="5" t="s">
        <v>118</v>
      </c>
      <c r="F136" s="5" t="s">
        <v>122</v>
      </c>
      <c r="G136" s="13">
        <v>900</v>
      </c>
      <c r="H136" s="9">
        <v>0.05</v>
      </c>
      <c r="I136" s="13">
        <f t="shared" si="6"/>
        <v>45</v>
      </c>
      <c r="J136" s="13">
        <f t="shared" si="7"/>
        <v>945</v>
      </c>
      <c r="K136" s="6" t="s">
        <v>113</v>
      </c>
      <c r="L136" s="5" t="s">
        <v>114</v>
      </c>
      <c r="M136" s="5" t="str">
        <f>E136&amp;" "&amp;F136&amp;" "&amp;K136&amp;" "&amp;L136</f>
        <v>Premium Gallon Nut Butterscotch 1Nos 4Ltr</v>
      </c>
      <c r="N136" s="5">
        <f>COUNTIF(M:M,M136)</f>
        <v>1</v>
      </c>
    </row>
    <row r="137" spans="1:14" x14ac:dyDescent="0.35">
      <c r="A137" s="4">
        <v>206</v>
      </c>
      <c r="B137" s="5" t="s">
        <v>110</v>
      </c>
      <c r="C137" s="5" t="str">
        <f>B137&amp;A137</f>
        <v>BG206</v>
      </c>
      <c r="D137" s="4" t="s">
        <v>111</v>
      </c>
      <c r="E137" s="5" t="s">
        <v>118</v>
      </c>
      <c r="F137" s="5" t="s">
        <v>123</v>
      </c>
      <c r="G137" s="13">
        <v>900</v>
      </c>
      <c r="H137" s="9">
        <v>0.05</v>
      </c>
      <c r="I137" s="13">
        <f t="shared" si="6"/>
        <v>45</v>
      </c>
      <c r="J137" s="13">
        <f t="shared" si="7"/>
        <v>945</v>
      </c>
      <c r="K137" s="6" t="s">
        <v>113</v>
      </c>
      <c r="L137" s="5" t="s">
        <v>114</v>
      </c>
      <c r="M137" s="5" t="str">
        <f>E137&amp;" "&amp;F137&amp;" "&amp;K137&amp;" "&amp;L137</f>
        <v>Premium Gallon Kesar Badam 1Nos 4Ltr</v>
      </c>
      <c r="N137" s="5">
        <f>COUNTIF(M:M,M137)</f>
        <v>1</v>
      </c>
    </row>
    <row r="138" spans="1:14" x14ac:dyDescent="0.35">
      <c r="A138" s="4">
        <v>207</v>
      </c>
      <c r="B138" s="5" t="s">
        <v>110</v>
      </c>
      <c r="C138" s="5" t="str">
        <f>B138&amp;A138</f>
        <v>BG207</v>
      </c>
      <c r="D138" s="4" t="s">
        <v>111</v>
      </c>
      <c r="E138" s="5" t="s">
        <v>118</v>
      </c>
      <c r="F138" s="5" t="s">
        <v>20</v>
      </c>
      <c r="G138" s="13">
        <v>900</v>
      </c>
      <c r="H138" s="9">
        <v>0.05</v>
      </c>
      <c r="I138" s="13">
        <f t="shared" si="6"/>
        <v>45</v>
      </c>
      <c r="J138" s="13">
        <f t="shared" si="7"/>
        <v>945</v>
      </c>
      <c r="K138" s="6" t="s">
        <v>113</v>
      </c>
      <c r="L138" s="5" t="s">
        <v>114</v>
      </c>
      <c r="M138" s="5" t="str">
        <f>E138&amp;" "&amp;F138&amp;" "&amp;K138&amp;" "&amp;L138</f>
        <v>Premium Gallon Kesar Pista 1Nos 4Ltr</v>
      </c>
      <c r="N138" s="5">
        <f>COUNTIF(M:M,M138)</f>
        <v>1</v>
      </c>
    </row>
    <row r="139" spans="1:14" x14ac:dyDescent="0.35">
      <c r="A139" s="4">
        <v>208</v>
      </c>
      <c r="B139" s="5" t="s">
        <v>110</v>
      </c>
      <c r="C139" s="5" t="str">
        <f>B139&amp;A139</f>
        <v>BG208</v>
      </c>
      <c r="D139" s="4" t="s">
        <v>111</v>
      </c>
      <c r="E139" s="5" t="s">
        <v>118</v>
      </c>
      <c r="F139" s="5" t="s">
        <v>40</v>
      </c>
      <c r="G139" s="13">
        <v>900</v>
      </c>
      <c r="H139" s="9">
        <v>0.05</v>
      </c>
      <c r="I139" s="13">
        <f t="shared" si="6"/>
        <v>45</v>
      </c>
      <c r="J139" s="13">
        <f t="shared" si="7"/>
        <v>945</v>
      </c>
      <c r="K139" s="6" t="s">
        <v>113</v>
      </c>
      <c r="L139" s="5" t="s">
        <v>114</v>
      </c>
      <c r="M139" s="5" t="str">
        <f>E139&amp;" "&amp;F139&amp;" "&amp;K139&amp;" "&amp;L139</f>
        <v>Premium Gallon Gulab Jamun 1Nos 4Ltr</v>
      </c>
      <c r="N139" s="5">
        <f>COUNTIF(M:M,M139)</f>
        <v>1</v>
      </c>
    </row>
    <row r="140" spans="1:14" x14ac:dyDescent="0.35">
      <c r="A140" s="4">
        <v>209</v>
      </c>
      <c r="B140" s="5" t="s">
        <v>110</v>
      </c>
      <c r="C140" s="5" t="str">
        <f>B140&amp;A140</f>
        <v>BG209</v>
      </c>
      <c r="D140" s="4" t="s">
        <v>111</v>
      </c>
      <c r="E140" s="5" t="s">
        <v>118</v>
      </c>
      <c r="F140" s="5" t="s">
        <v>124</v>
      </c>
      <c r="G140" s="13">
        <v>900</v>
      </c>
      <c r="H140" s="9">
        <v>0.05</v>
      </c>
      <c r="I140" s="13">
        <f t="shared" si="6"/>
        <v>45</v>
      </c>
      <c r="J140" s="13">
        <f t="shared" si="7"/>
        <v>945</v>
      </c>
      <c r="K140" s="6" t="s">
        <v>113</v>
      </c>
      <c r="L140" s="5" t="s">
        <v>114</v>
      </c>
      <c r="M140" s="5" t="str">
        <f>E140&amp;" "&amp;F140&amp;" "&amp;K140&amp;" "&amp;L140</f>
        <v>Premium Gallon Basaunthi 1Nos 4Ltr</v>
      </c>
      <c r="N140" s="5">
        <f>COUNTIF(M:M,M140)</f>
        <v>1</v>
      </c>
    </row>
    <row r="141" spans="1:14" x14ac:dyDescent="0.35">
      <c r="A141" s="4">
        <v>210</v>
      </c>
      <c r="B141" s="5" t="s">
        <v>110</v>
      </c>
      <c r="C141" s="5" t="str">
        <f>B141&amp;A141</f>
        <v>BG210</v>
      </c>
      <c r="D141" s="4" t="s">
        <v>111</v>
      </c>
      <c r="E141" s="5" t="s">
        <v>118</v>
      </c>
      <c r="F141" s="5" t="s">
        <v>125</v>
      </c>
      <c r="G141" s="13">
        <v>900</v>
      </c>
      <c r="H141" s="9">
        <v>0.05</v>
      </c>
      <c r="I141" s="13">
        <f t="shared" si="6"/>
        <v>45</v>
      </c>
      <c r="J141" s="13">
        <f t="shared" si="7"/>
        <v>945</v>
      </c>
      <c r="K141" s="6" t="s">
        <v>113</v>
      </c>
      <c r="L141" s="5" t="s">
        <v>114</v>
      </c>
      <c r="M141" s="5" t="str">
        <f>E141&amp;" "&amp;F141&amp;" "&amp;K141&amp;" "&amp;L141</f>
        <v>Premium Gallon Oreo 1Nos 4Ltr</v>
      </c>
      <c r="N141" s="5">
        <f>COUNTIF(M:M,M141)</f>
        <v>1</v>
      </c>
    </row>
    <row r="142" spans="1:14" x14ac:dyDescent="0.35">
      <c r="A142" s="4">
        <v>211</v>
      </c>
      <c r="B142" s="5" t="s">
        <v>110</v>
      </c>
      <c r="C142" s="5" t="str">
        <f>B142&amp;A142</f>
        <v>BG211</v>
      </c>
      <c r="D142" s="4" t="s">
        <v>111</v>
      </c>
      <c r="E142" s="5" t="s">
        <v>118</v>
      </c>
      <c r="F142" s="5" t="s">
        <v>126</v>
      </c>
      <c r="G142" s="13">
        <v>900</v>
      </c>
      <c r="H142" s="9">
        <v>0.05</v>
      </c>
      <c r="I142" s="13">
        <f t="shared" si="6"/>
        <v>45</v>
      </c>
      <c r="J142" s="13">
        <f t="shared" si="7"/>
        <v>945</v>
      </c>
      <c r="K142" s="6" t="s">
        <v>113</v>
      </c>
      <c r="L142" s="5" t="s">
        <v>114</v>
      </c>
      <c r="M142" s="5" t="str">
        <f>E142&amp;" "&amp;F142&amp;" "&amp;K142&amp;" "&amp;L142</f>
        <v>Premium Gallon Oreo Chocolate 1Nos 4Ltr</v>
      </c>
      <c r="N142" s="5">
        <f>COUNTIF(M:M,M142)</f>
        <v>1</v>
      </c>
    </row>
    <row r="143" spans="1:14" x14ac:dyDescent="0.35">
      <c r="A143" s="4">
        <v>212</v>
      </c>
      <c r="B143" s="5" t="s">
        <v>110</v>
      </c>
      <c r="C143" s="5" t="str">
        <f>B143&amp;A143</f>
        <v>BG212</v>
      </c>
      <c r="D143" s="4" t="s">
        <v>111</v>
      </c>
      <c r="E143" s="5" t="s">
        <v>118</v>
      </c>
      <c r="F143" s="5" t="s">
        <v>46</v>
      </c>
      <c r="G143" s="13">
        <v>900</v>
      </c>
      <c r="H143" s="9">
        <v>0.05</v>
      </c>
      <c r="I143" s="13">
        <f t="shared" si="6"/>
        <v>45</v>
      </c>
      <c r="J143" s="13">
        <f t="shared" si="7"/>
        <v>945</v>
      </c>
      <c r="K143" s="6" t="s">
        <v>113</v>
      </c>
      <c r="L143" s="5" t="s">
        <v>114</v>
      </c>
      <c r="M143" s="5" t="str">
        <f>E143&amp;" "&amp;F143&amp;" "&amp;K143&amp;" "&amp;L143</f>
        <v>Premium Gallon Cookies 1Nos 4Ltr</v>
      </c>
      <c r="N143" s="5">
        <f>COUNTIF(M:M,M143)</f>
        <v>1</v>
      </c>
    </row>
    <row r="144" spans="1:14" x14ac:dyDescent="0.35">
      <c r="A144" s="4">
        <v>213</v>
      </c>
      <c r="B144" s="5" t="s">
        <v>110</v>
      </c>
      <c r="C144" s="5" t="str">
        <f>B144&amp;A144</f>
        <v>BG213</v>
      </c>
      <c r="D144" s="4" t="s">
        <v>111</v>
      </c>
      <c r="E144" s="5" t="s">
        <v>118</v>
      </c>
      <c r="F144" s="5" t="s">
        <v>44</v>
      </c>
      <c r="G144" s="13">
        <v>900</v>
      </c>
      <c r="H144" s="9">
        <v>0.05</v>
      </c>
      <c r="I144" s="13">
        <f t="shared" si="6"/>
        <v>45</v>
      </c>
      <c r="J144" s="13">
        <f t="shared" si="7"/>
        <v>945</v>
      </c>
      <c r="K144" s="6" t="s">
        <v>113</v>
      </c>
      <c r="L144" s="5" t="s">
        <v>114</v>
      </c>
      <c r="M144" s="5" t="str">
        <f>E144&amp;" "&amp;F144&amp;" "&amp;K144&amp;" "&amp;L144</f>
        <v>Premium Gallon Redvelvet 1Nos 4Ltr</v>
      </c>
      <c r="N144" s="5">
        <f>COUNTIF(M:M,M144)</f>
        <v>1</v>
      </c>
    </row>
    <row r="145" spans="1:14" x14ac:dyDescent="0.35">
      <c r="A145" s="4">
        <v>214</v>
      </c>
      <c r="B145" s="5" t="s">
        <v>110</v>
      </c>
      <c r="C145" s="5" t="str">
        <f>B145&amp;A145</f>
        <v>BG214</v>
      </c>
      <c r="D145" s="4" t="s">
        <v>111</v>
      </c>
      <c r="E145" s="5" t="s">
        <v>118</v>
      </c>
      <c r="F145" s="5" t="s">
        <v>127</v>
      </c>
      <c r="G145" s="13">
        <v>900</v>
      </c>
      <c r="H145" s="9">
        <v>0.05</v>
      </c>
      <c r="I145" s="13">
        <f t="shared" si="6"/>
        <v>45</v>
      </c>
      <c r="J145" s="13">
        <f t="shared" si="7"/>
        <v>945</v>
      </c>
      <c r="K145" s="6" t="s">
        <v>113</v>
      </c>
      <c r="L145" s="5" t="s">
        <v>114</v>
      </c>
      <c r="M145" s="5" t="str">
        <f>E145&amp;" "&amp;F145&amp;" "&amp;K145&amp;" "&amp;L145</f>
        <v>Premium Gallon Choco Brownine 1Nos 4Ltr</v>
      </c>
      <c r="N145" s="5">
        <f>COUNTIF(M:M,M145)</f>
        <v>1</v>
      </c>
    </row>
    <row r="146" spans="1:14" x14ac:dyDescent="0.35">
      <c r="A146" s="4">
        <v>215</v>
      </c>
      <c r="B146" s="5" t="s">
        <v>110</v>
      </c>
      <c r="C146" s="5" t="str">
        <f>B146&amp;A146</f>
        <v>BG215</v>
      </c>
      <c r="D146" s="4" t="s">
        <v>111</v>
      </c>
      <c r="E146" s="5" t="s">
        <v>118</v>
      </c>
      <c r="F146" s="5" t="s">
        <v>45</v>
      </c>
      <c r="G146" s="13">
        <v>900</v>
      </c>
      <c r="H146" s="9">
        <v>0.05</v>
      </c>
      <c r="I146" s="13">
        <f t="shared" si="6"/>
        <v>45</v>
      </c>
      <c r="J146" s="13">
        <f t="shared" si="7"/>
        <v>945</v>
      </c>
      <c r="K146" s="6" t="s">
        <v>113</v>
      </c>
      <c r="L146" s="5" t="s">
        <v>114</v>
      </c>
      <c r="M146" s="5" t="str">
        <f>E146&amp;" "&amp;F146&amp;" "&amp;K146&amp;" "&amp;L146</f>
        <v>Premium Gallon BlackForest 1Nos 4Ltr</v>
      </c>
      <c r="N146" s="5">
        <f>COUNTIF(M:M,M146)</f>
        <v>1</v>
      </c>
    </row>
    <row r="147" spans="1:14" x14ac:dyDescent="0.35">
      <c r="A147" s="4">
        <v>216</v>
      </c>
      <c r="B147" s="5" t="s">
        <v>110</v>
      </c>
      <c r="C147" s="5" t="str">
        <f>B147&amp;A147</f>
        <v>BG216</v>
      </c>
      <c r="D147" s="4" t="s">
        <v>111</v>
      </c>
      <c r="E147" s="5" t="s">
        <v>118</v>
      </c>
      <c r="F147" s="5" t="s">
        <v>128</v>
      </c>
      <c r="G147" s="13">
        <v>900</v>
      </c>
      <c r="H147" s="9">
        <v>0.05</v>
      </c>
      <c r="I147" s="13">
        <f t="shared" si="6"/>
        <v>45</v>
      </c>
      <c r="J147" s="13">
        <f t="shared" si="7"/>
        <v>945</v>
      </c>
      <c r="K147" s="6" t="s">
        <v>113</v>
      </c>
      <c r="L147" s="5" t="s">
        <v>114</v>
      </c>
      <c r="M147" s="5" t="str">
        <f>E147&amp;" "&amp;F147&amp;" "&amp;K147&amp;" "&amp;L147</f>
        <v>Premium Gallon Dark Choco 1Nos 4Ltr</v>
      </c>
      <c r="N147" s="5">
        <f>COUNTIF(M:M,M147)</f>
        <v>1</v>
      </c>
    </row>
    <row r="148" spans="1:14" x14ac:dyDescent="0.35">
      <c r="A148" s="4">
        <v>217</v>
      </c>
      <c r="B148" s="5" t="s">
        <v>110</v>
      </c>
      <c r="C148" s="5" t="str">
        <f>B148&amp;A148</f>
        <v>BG217</v>
      </c>
      <c r="D148" s="4" t="s">
        <v>111</v>
      </c>
      <c r="E148" s="5" t="s">
        <v>118</v>
      </c>
      <c r="F148" s="5" t="s">
        <v>129</v>
      </c>
      <c r="G148" s="13">
        <v>900</v>
      </c>
      <c r="H148" s="9">
        <v>0.05</v>
      </c>
      <c r="I148" s="13">
        <f t="shared" si="6"/>
        <v>45</v>
      </c>
      <c r="J148" s="13">
        <f t="shared" si="7"/>
        <v>945</v>
      </c>
      <c r="K148" s="6" t="s">
        <v>113</v>
      </c>
      <c r="L148" s="5" t="s">
        <v>114</v>
      </c>
      <c r="M148" s="5" t="str">
        <f>E148&amp;" "&amp;F148&amp;" "&amp;K148&amp;" "&amp;L148</f>
        <v>Premium Gallon White Choco 1Nos 4Ltr</v>
      </c>
      <c r="N148" s="5">
        <f>COUNTIF(M:M,M148)</f>
        <v>1</v>
      </c>
    </row>
    <row r="149" spans="1:14" x14ac:dyDescent="0.35">
      <c r="A149" s="4">
        <v>218</v>
      </c>
      <c r="B149" s="5" t="s">
        <v>110</v>
      </c>
      <c r="C149" s="5" t="str">
        <f>B149&amp;A149</f>
        <v>BG218</v>
      </c>
      <c r="D149" s="4" t="s">
        <v>111</v>
      </c>
      <c r="E149" s="5" t="s">
        <v>118</v>
      </c>
      <c r="F149" s="5" t="s">
        <v>130</v>
      </c>
      <c r="G149" s="13">
        <v>900</v>
      </c>
      <c r="H149" s="9">
        <v>0.05</v>
      </c>
      <c r="I149" s="13">
        <f t="shared" si="6"/>
        <v>45</v>
      </c>
      <c r="J149" s="13">
        <f t="shared" si="7"/>
        <v>945</v>
      </c>
      <c r="K149" s="6" t="s">
        <v>113</v>
      </c>
      <c r="L149" s="5" t="s">
        <v>114</v>
      </c>
      <c r="M149" s="5" t="str">
        <f>E149&amp;" "&amp;F149&amp;" "&amp;K149&amp;" "&amp;L149</f>
        <v>Premium Gallon Spanish Delight 1Nos 4Ltr</v>
      </c>
      <c r="N149" s="5">
        <f>COUNTIF(M:M,M149)</f>
        <v>1</v>
      </c>
    </row>
    <row r="150" spans="1:14" x14ac:dyDescent="0.35">
      <c r="A150" s="4">
        <v>219</v>
      </c>
      <c r="B150" s="5" t="s">
        <v>110</v>
      </c>
      <c r="C150" s="5" t="str">
        <f>B150&amp;A150</f>
        <v>BG219</v>
      </c>
      <c r="D150" s="4" t="s">
        <v>111</v>
      </c>
      <c r="E150" s="5" t="s">
        <v>118</v>
      </c>
      <c r="F150" s="5" t="s">
        <v>107</v>
      </c>
      <c r="G150" s="13">
        <v>900</v>
      </c>
      <c r="H150" s="9">
        <v>0.05</v>
      </c>
      <c r="I150" s="13">
        <f t="shared" si="6"/>
        <v>45</v>
      </c>
      <c r="J150" s="13">
        <f t="shared" si="7"/>
        <v>945</v>
      </c>
      <c r="K150" s="6" t="s">
        <v>113</v>
      </c>
      <c r="L150" s="5" t="s">
        <v>114</v>
      </c>
      <c r="M150" s="5" t="str">
        <f>E150&amp;" "&amp;F150&amp;" "&amp;K150&amp;" "&amp;L150</f>
        <v>Premium Gallon Salted Carmel 1Nos 4Ltr</v>
      </c>
      <c r="N150" s="5">
        <f>COUNTIF(M:M,M150)</f>
        <v>1</v>
      </c>
    </row>
    <row r="151" spans="1:14" x14ac:dyDescent="0.35">
      <c r="A151" s="4">
        <v>220</v>
      </c>
      <c r="B151" s="5" t="s">
        <v>110</v>
      </c>
      <c r="C151" s="5" t="str">
        <f>B151&amp;A151</f>
        <v>BG220</v>
      </c>
      <c r="D151" s="4" t="s">
        <v>111</v>
      </c>
      <c r="E151" s="5" t="s">
        <v>118</v>
      </c>
      <c r="F151" s="5" t="s">
        <v>131</v>
      </c>
      <c r="G151" s="13">
        <v>1100</v>
      </c>
      <c r="H151" s="9">
        <v>0.05</v>
      </c>
      <c r="I151" s="13">
        <f t="shared" si="6"/>
        <v>55</v>
      </c>
      <c r="J151" s="13">
        <f t="shared" si="7"/>
        <v>1155</v>
      </c>
      <c r="K151" s="6" t="s">
        <v>113</v>
      </c>
      <c r="L151" s="5" t="s">
        <v>114</v>
      </c>
      <c r="M151" s="5" t="str">
        <f>E151&amp;" "&amp;F151&amp;" "&amp;K151&amp;" "&amp;L151</f>
        <v>Premium Gallon Nutella 1Nos 4Ltr</v>
      </c>
      <c r="N151" s="5">
        <f>COUNTIF(M:M,M151)</f>
        <v>1</v>
      </c>
    </row>
    <row r="152" spans="1:14" x14ac:dyDescent="0.35">
      <c r="A152" s="4">
        <v>221</v>
      </c>
      <c r="B152" s="5" t="s">
        <v>110</v>
      </c>
      <c r="C152" s="5" t="str">
        <f>B152&amp;A152</f>
        <v>BG221</v>
      </c>
      <c r="D152" s="4" t="s">
        <v>111</v>
      </c>
      <c r="E152" s="5" t="s">
        <v>118</v>
      </c>
      <c r="F152" s="5" t="s">
        <v>48</v>
      </c>
      <c r="G152" s="13">
        <v>1100</v>
      </c>
      <c r="H152" s="9">
        <v>0.05</v>
      </c>
      <c r="I152" s="13">
        <f t="shared" si="6"/>
        <v>55</v>
      </c>
      <c r="J152" s="13">
        <f t="shared" si="7"/>
        <v>1155</v>
      </c>
      <c r="K152" s="6" t="s">
        <v>113</v>
      </c>
      <c r="L152" s="5" t="s">
        <v>114</v>
      </c>
      <c r="M152" s="5" t="str">
        <f>E152&amp;" "&amp;F152&amp;" "&amp;K152&amp;" "&amp;L152</f>
        <v>Premium Gallon Biscoff 1Nos 4Ltr</v>
      </c>
      <c r="N152" s="5">
        <f>COUNTIF(M:M,M152)</f>
        <v>1</v>
      </c>
    </row>
    <row r="153" spans="1:14" x14ac:dyDescent="0.35">
      <c r="A153" s="4">
        <v>222</v>
      </c>
      <c r="B153" s="5" t="s">
        <v>110</v>
      </c>
      <c r="C153" s="5" t="str">
        <f>B153&amp;A153</f>
        <v>BG222</v>
      </c>
      <c r="D153" s="4" t="s">
        <v>111</v>
      </c>
      <c r="E153" s="5" t="s">
        <v>118</v>
      </c>
      <c r="F153" s="5" t="s">
        <v>132</v>
      </c>
      <c r="G153" s="13">
        <v>1200</v>
      </c>
      <c r="H153" s="9">
        <v>0.05</v>
      </c>
      <c r="I153" s="13">
        <f t="shared" si="6"/>
        <v>60</v>
      </c>
      <c r="J153" s="13">
        <f t="shared" si="7"/>
        <v>1260</v>
      </c>
      <c r="K153" s="6" t="s">
        <v>113</v>
      </c>
      <c r="L153" s="5" t="s">
        <v>114</v>
      </c>
      <c r="M153" s="5" t="str">
        <f>E153&amp;" "&amp;F153&amp;" "&amp;K153&amp;" "&amp;L153</f>
        <v>Premium Gallon Kit Kat 1Nos 4Ltr</v>
      </c>
      <c r="N153" s="5">
        <f>COUNTIF(M:M,M153)</f>
        <v>1</v>
      </c>
    </row>
    <row r="154" spans="1:14" x14ac:dyDescent="0.35">
      <c r="A154" s="4">
        <v>301</v>
      </c>
      <c r="B154" s="5" t="s">
        <v>110</v>
      </c>
      <c r="C154" s="5" t="str">
        <f>B154&amp;A154</f>
        <v>BG301</v>
      </c>
      <c r="D154" s="4" t="s">
        <v>111</v>
      </c>
      <c r="E154" s="5" t="s">
        <v>133</v>
      </c>
      <c r="F154" s="5" t="s">
        <v>27</v>
      </c>
      <c r="G154" s="13">
        <v>900</v>
      </c>
      <c r="H154" s="9">
        <v>0.05</v>
      </c>
      <c r="I154" s="13">
        <f t="shared" si="6"/>
        <v>45</v>
      </c>
      <c r="J154" s="13">
        <f t="shared" si="7"/>
        <v>945</v>
      </c>
      <c r="K154" s="6" t="s">
        <v>113</v>
      </c>
      <c r="L154" s="5" t="s">
        <v>114</v>
      </c>
      <c r="M154" s="5" t="str">
        <f>E154&amp;" "&amp;F154&amp;" "&amp;K154&amp;" "&amp;L154</f>
        <v>Fruit Blend Gallon Alphonso Mango 1Nos 4Ltr</v>
      </c>
      <c r="N154" s="5">
        <f>COUNTIF(M:M,M154)</f>
        <v>1</v>
      </c>
    </row>
    <row r="155" spans="1:14" x14ac:dyDescent="0.35">
      <c r="A155" s="4">
        <v>302</v>
      </c>
      <c r="B155" s="5" t="s">
        <v>110</v>
      </c>
      <c r="C155" s="5" t="str">
        <f>B155&amp;A155</f>
        <v>BG302</v>
      </c>
      <c r="D155" s="4" t="s">
        <v>111</v>
      </c>
      <c r="E155" s="5" t="s">
        <v>133</v>
      </c>
      <c r="F155" s="5" t="s">
        <v>134</v>
      </c>
      <c r="G155" s="13">
        <v>900</v>
      </c>
      <c r="H155" s="9">
        <v>0.05</v>
      </c>
      <c r="I155" s="13">
        <f t="shared" si="6"/>
        <v>45</v>
      </c>
      <c r="J155" s="13">
        <f t="shared" si="7"/>
        <v>945</v>
      </c>
      <c r="K155" s="6" t="s">
        <v>113</v>
      </c>
      <c r="L155" s="5" t="s">
        <v>114</v>
      </c>
      <c r="M155" s="5" t="str">
        <f>E155&amp;" "&amp;F155&amp;" "&amp;K155&amp;" "&amp;L155</f>
        <v>Fruit Blend Gallon Arabic Dates 1Nos 4Ltr</v>
      </c>
      <c r="N155" s="5">
        <f>COUNTIF(M:M,M155)</f>
        <v>1</v>
      </c>
    </row>
    <row r="156" spans="1:14" x14ac:dyDescent="0.35">
      <c r="A156" s="4">
        <v>303</v>
      </c>
      <c r="B156" s="5" t="s">
        <v>110</v>
      </c>
      <c r="C156" s="5" t="str">
        <f>B156&amp;A156</f>
        <v>BG303</v>
      </c>
      <c r="D156" s="4" t="s">
        <v>111</v>
      </c>
      <c r="E156" s="5" t="s">
        <v>133</v>
      </c>
      <c r="F156" s="5" t="s">
        <v>135</v>
      </c>
      <c r="G156" s="13">
        <v>900</v>
      </c>
      <c r="H156" s="9">
        <v>0.05</v>
      </c>
      <c r="I156" s="13">
        <f t="shared" si="6"/>
        <v>45</v>
      </c>
      <c r="J156" s="13">
        <f t="shared" si="7"/>
        <v>945</v>
      </c>
      <c r="K156" s="6" t="s">
        <v>113</v>
      </c>
      <c r="L156" s="5" t="s">
        <v>114</v>
      </c>
      <c r="M156" s="5" t="str">
        <f>E156&amp;" "&amp;F156&amp;" "&amp;K156&amp;" "&amp;L156</f>
        <v>Fruit Blend Gallon Avacado 1Nos 4Ltr</v>
      </c>
      <c r="N156" s="5">
        <f>COUNTIF(M:M,M156)</f>
        <v>1</v>
      </c>
    </row>
    <row r="157" spans="1:14" x14ac:dyDescent="0.35">
      <c r="A157" s="4">
        <v>304</v>
      </c>
      <c r="B157" s="5" t="s">
        <v>110</v>
      </c>
      <c r="C157" s="5" t="str">
        <f>B157&amp;A157</f>
        <v>BG304</v>
      </c>
      <c r="D157" s="4" t="s">
        <v>111</v>
      </c>
      <c r="E157" s="5" t="s">
        <v>133</v>
      </c>
      <c r="F157" s="5" t="s">
        <v>53</v>
      </c>
      <c r="G157" s="13">
        <v>900</v>
      </c>
      <c r="H157" s="9">
        <v>0.05</v>
      </c>
      <c r="I157" s="13">
        <f t="shared" si="6"/>
        <v>45</v>
      </c>
      <c r="J157" s="13">
        <f t="shared" si="7"/>
        <v>945</v>
      </c>
      <c r="K157" s="6" t="s">
        <v>113</v>
      </c>
      <c r="L157" s="5" t="s">
        <v>114</v>
      </c>
      <c r="M157" s="5" t="str">
        <f>E157&amp;" "&amp;F157&amp;" "&amp;K157&amp;" "&amp;L157</f>
        <v>Fruit Blend Gallon Berry Blast 1Nos 4Ltr</v>
      </c>
      <c r="N157" s="5">
        <f>COUNTIF(M:M,M157)</f>
        <v>1</v>
      </c>
    </row>
    <row r="158" spans="1:14" x14ac:dyDescent="0.35">
      <c r="A158" s="4">
        <v>305</v>
      </c>
      <c r="B158" s="5" t="s">
        <v>110</v>
      </c>
      <c r="C158" s="5" t="str">
        <f>B158&amp;A158</f>
        <v>BG305</v>
      </c>
      <c r="D158" s="4" t="s">
        <v>111</v>
      </c>
      <c r="E158" s="5" t="s">
        <v>133</v>
      </c>
      <c r="F158" s="5" t="s">
        <v>62</v>
      </c>
      <c r="G158" s="13">
        <v>900</v>
      </c>
      <c r="H158" s="9">
        <v>0.05</v>
      </c>
      <c r="I158" s="13">
        <f t="shared" si="6"/>
        <v>45</v>
      </c>
      <c r="J158" s="13">
        <f t="shared" si="7"/>
        <v>945</v>
      </c>
      <c r="K158" s="6" t="s">
        <v>113</v>
      </c>
      <c r="L158" s="5" t="s">
        <v>114</v>
      </c>
      <c r="M158" s="5" t="str">
        <f>E158&amp;" "&amp;F158&amp;" "&amp;K158&amp;" "&amp;L158</f>
        <v>Fruit Blend Gallon Jamun 1Nos 4Ltr</v>
      </c>
      <c r="N158" s="5">
        <f>COUNTIF(M:M,M158)</f>
        <v>1</v>
      </c>
    </row>
    <row r="159" spans="1:14" x14ac:dyDescent="0.35">
      <c r="A159" s="4">
        <v>306</v>
      </c>
      <c r="B159" s="5" t="s">
        <v>110</v>
      </c>
      <c r="C159" s="5" t="str">
        <f>B159&amp;A159</f>
        <v>BG306</v>
      </c>
      <c r="D159" s="4" t="s">
        <v>111</v>
      </c>
      <c r="E159" s="5" t="s">
        <v>133</v>
      </c>
      <c r="F159" s="5" t="s">
        <v>28</v>
      </c>
      <c r="G159" s="13">
        <v>900</v>
      </c>
      <c r="H159" s="9">
        <v>0.05</v>
      </c>
      <c r="I159" s="13">
        <f t="shared" si="6"/>
        <v>45</v>
      </c>
      <c r="J159" s="13">
        <f t="shared" si="7"/>
        <v>945</v>
      </c>
      <c r="K159" s="6" t="s">
        <v>113</v>
      </c>
      <c r="L159" s="5" t="s">
        <v>114</v>
      </c>
      <c r="M159" s="5" t="str">
        <f>E159&amp;" "&amp;F159&amp;" "&amp;K159&amp;" "&amp;L159</f>
        <v>Fruit Blend Gallon Blueberry 1Nos 4Ltr</v>
      </c>
      <c r="N159" s="5">
        <f>COUNTIF(M:M,M159)</f>
        <v>1</v>
      </c>
    </row>
    <row r="160" spans="1:14" x14ac:dyDescent="0.35">
      <c r="A160" s="4">
        <v>307</v>
      </c>
      <c r="B160" s="5" t="s">
        <v>110</v>
      </c>
      <c r="C160" s="5" t="str">
        <f>B160&amp;A160</f>
        <v>BG307</v>
      </c>
      <c r="D160" s="4" t="s">
        <v>111</v>
      </c>
      <c r="E160" s="5" t="s">
        <v>133</v>
      </c>
      <c r="F160" s="5" t="s">
        <v>54</v>
      </c>
      <c r="G160" s="13">
        <v>900</v>
      </c>
      <c r="H160" s="9">
        <v>0.05</v>
      </c>
      <c r="I160" s="13">
        <f t="shared" si="6"/>
        <v>45</v>
      </c>
      <c r="J160" s="13">
        <f t="shared" si="7"/>
        <v>945</v>
      </c>
      <c r="K160" s="6" t="s">
        <v>113</v>
      </c>
      <c r="L160" s="5" t="s">
        <v>114</v>
      </c>
      <c r="M160" s="5" t="str">
        <f>E160&amp;" "&amp;F160&amp;" "&amp;K160&amp;" "&amp;L160</f>
        <v>Fruit Blend Gallon Chickoo 1Nos 4Ltr</v>
      </c>
      <c r="N160" s="5">
        <f>COUNTIF(M:M,M160)</f>
        <v>1</v>
      </c>
    </row>
    <row r="161" spans="1:14" x14ac:dyDescent="0.35">
      <c r="A161" s="4">
        <v>308</v>
      </c>
      <c r="B161" s="5" t="s">
        <v>110</v>
      </c>
      <c r="C161" s="5" t="str">
        <f>B161&amp;A161</f>
        <v>BG308</v>
      </c>
      <c r="D161" s="4" t="s">
        <v>111</v>
      </c>
      <c r="E161" s="5" t="s">
        <v>133</v>
      </c>
      <c r="F161" s="5" t="s">
        <v>136</v>
      </c>
      <c r="G161" s="13">
        <v>900</v>
      </c>
      <c r="H161" s="9">
        <v>0.05</v>
      </c>
      <c r="I161" s="13">
        <f t="shared" si="6"/>
        <v>45</v>
      </c>
      <c r="J161" s="13">
        <f t="shared" si="7"/>
        <v>945</v>
      </c>
      <c r="K161" s="6" t="s">
        <v>113</v>
      </c>
      <c r="L161" s="5" t="s">
        <v>114</v>
      </c>
      <c r="M161" s="5" t="str">
        <f>E161&amp;" "&amp;F161&amp;" "&amp;K161&amp;" "&amp;L161</f>
        <v>Fruit Blend Gallon Custard Apple 1Nos 4Ltr</v>
      </c>
      <c r="N161" s="5">
        <f>COUNTIF(M:M,M161)</f>
        <v>1</v>
      </c>
    </row>
    <row r="162" spans="1:14" x14ac:dyDescent="0.35">
      <c r="A162" s="4">
        <v>309</v>
      </c>
      <c r="B162" s="5" t="s">
        <v>110</v>
      </c>
      <c r="C162" s="5" t="str">
        <f>B162&amp;A162</f>
        <v>BG309</v>
      </c>
      <c r="D162" s="4" t="s">
        <v>111</v>
      </c>
      <c r="E162" s="5" t="s">
        <v>133</v>
      </c>
      <c r="F162" s="5" t="s">
        <v>137</v>
      </c>
      <c r="G162" s="13">
        <v>900</v>
      </c>
      <c r="H162" s="9">
        <v>0.05</v>
      </c>
      <c r="I162" s="13">
        <f t="shared" si="6"/>
        <v>45</v>
      </c>
      <c r="J162" s="13">
        <f t="shared" si="7"/>
        <v>945</v>
      </c>
      <c r="K162" s="6" t="s">
        <v>113</v>
      </c>
      <c r="L162" s="5" t="s">
        <v>114</v>
      </c>
      <c r="M162" s="5" t="str">
        <f>E162&amp;" "&amp;F162&amp;" "&amp;K162&amp;" "&amp;L162</f>
        <v>Fruit Blend Gallon Guava Pink 1Nos 4Ltr</v>
      </c>
      <c r="N162" s="5">
        <f>COUNTIF(M:M,M162)</f>
        <v>1</v>
      </c>
    </row>
    <row r="163" spans="1:14" x14ac:dyDescent="0.35">
      <c r="A163" s="4">
        <v>310</v>
      </c>
      <c r="B163" s="5" t="s">
        <v>110</v>
      </c>
      <c r="C163" s="5" t="str">
        <f>B163&amp;A163</f>
        <v>BG310</v>
      </c>
      <c r="D163" s="4" t="s">
        <v>111</v>
      </c>
      <c r="E163" s="5" t="s">
        <v>133</v>
      </c>
      <c r="F163" s="5" t="s">
        <v>138</v>
      </c>
      <c r="G163" s="13">
        <v>900</v>
      </c>
      <c r="H163" s="9">
        <v>0.05</v>
      </c>
      <c r="I163" s="13">
        <f t="shared" si="6"/>
        <v>45</v>
      </c>
      <c r="J163" s="13">
        <f t="shared" si="7"/>
        <v>945</v>
      </c>
      <c r="K163" s="6" t="s">
        <v>113</v>
      </c>
      <c r="L163" s="5" t="s">
        <v>114</v>
      </c>
      <c r="M163" s="5" t="str">
        <f>E163&amp;" "&amp;F163&amp;" "&amp;K163&amp;" "&amp;L163</f>
        <v>Fruit Blend Gallon Guava Spicy 1Nos 4Ltr</v>
      </c>
      <c r="N163" s="5">
        <f>COUNTIF(M:M,M163)</f>
        <v>1</v>
      </c>
    </row>
    <row r="164" spans="1:14" x14ac:dyDescent="0.35">
      <c r="A164" s="4">
        <v>311</v>
      </c>
      <c r="B164" s="5" t="s">
        <v>110</v>
      </c>
      <c r="C164" s="5" t="str">
        <f>B164&amp;A164</f>
        <v>BG311</v>
      </c>
      <c r="D164" s="4" t="s">
        <v>111</v>
      </c>
      <c r="E164" s="5" t="s">
        <v>133</v>
      </c>
      <c r="F164" s="5" t="s">
        <v>139</v>
      </c>
      <c r="G164" s="13">
        <v>900</v>
      </c>
      <c r="H164" s="9">
        <v>0.05</v>
      </c>
      <c r="I164" s="13">
        <f t="shared" si="6"/>
        <v>45</v>
      </c>
      <c r="J164" s="13">
        <f t="shared" si="7"/>
        <v>945</v>
      </c>
      <c r="K164" s="6" t="s">
        <v>113</v>
      </c>
      <c r="L164" s="5" t="s">
        <v>114</v>
      </c>
      <c r="M164" s="5" t="str">
        <f>E164&amp;" "&amp;F164&amp;" "&amp;K164&amp;" "&amp;L164</f>
        <v>Fruit Blend Gallon Gulkand 1Nos 4Ltr</v>
      </c>
      <c r="N164" s="5">
        <f>COUNTIF(M:M,M164)</f>
        <v>1</v>
      </c>
    </row>
    <row r="165" spans="1:14" x14ac:dyDescent="0.35">
      <c r="A165" s="4">
        <v>312</v>
      </c>
      <c r="B165" s="5" t="s">
        <v>110</v>
      </c>
      <c r="C165" s="5" t="str">
        <f>B165&amp;A165</f>
        <v>BG312</v>
      </c>
      <c r="D165" s="4" t="s">
        <v>111</v>
      </c>
      <c r="E165" s="5" t="s">
        <v>133</v>
      </c>
      <c r="F165" s="5" t="s">
        <v>55</v>
      </c>
      <c r="G165" s="13">
        <v>900</v>
      </c>
      <c r="H165" s="9">
        <v>0.05</v>
      </c>
      <c r="I165" s="13">
        <f t="shared" si="6"/>
        <v>45</v>
      </c>
      <c r="J165" s="13">
        <f t="shared" si="7"/>
        <v>945</v>
      </c>
      <c r="K165" s="6" t="s">
        <v>113</v>
      </c>
      <c r="L165" s="5" t="s">
        <v>114</v>
      </c>
      <c r="M165" s="5" t="str">
        <f>E165&amp;" "&amp;F165&amp;" "&amp;K165&amp;" "&amp;L165</f>
        <v>Fruit Blend Gallon JackFruit 1Nos 4Ltr</v>
      </c>
      <c r="N165" s="5">
        <f>COUNTIF(M:M,M165)</f>
        <v>1</v>
      </c>
    </row>
    <row r="166" spans="1:14" x14ac:dyDescent="0.35">
      <c r="A166" s="4">
        <v>313</v>
      </c>
      <c r="B166" s="5" t="s">
        <v>110</v>
      </c>
      <c r="C166" s="5" t="str">
        <f>B166&amp;A166</f>
        <v>BG313</v>
      </c>
      <c r="D166" s="4" t="s">
        <v>111</v>
      </c>
      <c r="E166" s="5" t="s">
        <v>133</v>
      </c>
      <c r="F166" s="5" t="s">
        <v>99</v>
      </c>
      <c r="G166" s="13">
        <v>900</v>
      </c>
      <c r="H166" s="9">
        <v>0.05</v>
      </c>
      <c r="I166" s="13">
        <f t="shared" si="6"/>
        <v>45</v>
      </c>
      <c r="J166" s="13">
        <f t="shared" si="7"/>
        <v>945</v>
      </c>
      <c r="K166" s="6" t="s">
        <v>113</v>
      </c>
      <c r="L166" s="5" t="s">
        <v>114</v>
      </c>
      <c r="M166" s="5" t="str">
        <f>E166&amp;" "&amp;F166&amp;" "&amp;K166&amp;" "&amp;L166</f>
        <v>Fruit Blend Gallon Kiwi 1Nos 4Ltr</v>
      </c>
      <c r="N166" s="5">
        <f>COUNTIF(M:M,M166)</f>
        <v>1</v>
      </c>
    </row>
    <row r="167" spans="1:14" x14ac:dyDescent="0.35">
      <c r="A167" s="4">
        <v>314</v>
      </c>
      <c r="B167" s="5" t="s">
        <v>110</v>
      </c>
      <c r="C167" s="5" t="str">
        <f>B167&amp;A167</f>
        <v>BG314</v>
      </c>
      <c r="D167" s="4" t="s">
        <v>111</v>
      </c>
      <c r="E167" s="5" t="s">
        <v>133</v>
      </c>
      <c r="F167" s="5" t="s">
        <v>56</v>
      </c>
      <c r="G167" s="13">
        <v>900</v>
      </c>
      <c r="H167" s="9">
        <v>0.05</v>
      </c>
      <c r="I167" s="13">
        <f t="shared" si="6"/>
        <v>45</v>
      </c>
      <c r="J167" s="13">
        <f t="shared" si="7"/>
        <v>945</v>
      </c>
      <c r="K167" s="6" t="s">
        <v>113</v>
      </c>
      <c r="L167" s="5" t="s">
        <v>114</v>
      </c>
      <c r="M167" s="5" t="str">
        <f>E167&amp;" "&amp;F167&amp;" "&amp;K167&amp;" "&amp;L167</f>
        <v>Fruit Blend Gallon Litchi 1Nos 4Ltr</v>
      </c>
      <c r="N167" s="5">
        <f>COUNTIF(M:M,M167)</f>
        <v>1</v>
      </c>
    </row>
    <row r="168" spans="1:14" x14ac:dyDescent="0.35">
      <c r="A168" s="4">
        <v>315</v>
      </c>
      <c r="B168" s="5" t="s">
        <v>110</v>
      </c>
      <c r="C168" s="5" t="str">
        <f>B168&amp;A168</f>
        <v>BG315</v>
      </c>
      <c r="D168" s="4" t="s">
        <v>111</v>
      </c>
      <c r="E168" s="5" t="s">
        <v>133</v>
      </c>
      <c r="F168" s="5" t="s">
        <v>140</v>
      </c>
      <c r="G168" s="13">
        <v>900</v>
      </c>
      <c r="H168" s="9">
        <v>0.05</v>
      </c>
      <c r="I168" s="13">
        <f t="shared" si="6"/>
        <v>45</v>
      </c>
      <c r="J168" s="13">
        <f t="shared" si="7"/>
        <v>945</v>
      </c>
      <c r="K168" s="6" t="s">
        <v>113</v>
      </c>
      <c r="L168" s="5" t="s">
        <v>114</v>
      </c>
      <c r="M168" s="5" t="str">
        <f>E168&amp;" "&amp;F168&amp;" "&amp;K168&amp;" "&amp;L168</f>
        <v>Fruit Blend Gallon Watermelon 1Nos 4Ltr</v>
      </c>
      <c r="N168" s="5">
        <f>COUNTIF(M:M,M168)</f>
        <v>1</v>
      </c>
    </row>
    <row r="169" spans="1:14" x14ac:dyDescent="0.35">
      <c r="A169" s="4">
        <v>316</v>
      </c>
      <c r="B169" s="5" t="s">
        <v>110</v>
      </c>
      <c r="C169" s="5" t="str">
        <f>B169&amp;A169</f>
        <v>BG316</v>
      </c>
      <c r="D169" s="4" t="s">
        <v>111</v>
      </c>
      <c r="E169" s="5" t="s">
        <v>133</v>
      </c>
      <c r="F169" s="5" t="s">
        <v>58</v>
      </c>
      <c r="G169" s="13">
        <v>900</v>
      </c>
      <c r="H169" s="9">
        <v>0.05</v>
      </c>
      <c r="I169" s="13">
        <f t="shared" si="6"/>
        <v>45</v>
      </c>
      <c r="J169" s="13">
        <f t="shared" si="7"/>
        <v>945</v>
      </c>
      <c r="K169" s="6" t="s">
        <v>113</v>
      </c>
      <c r="L169" s="5" t="s">
        <v>114</v>
      </c>
      <c r="M169" s="5" t="str">
        <f>E169&amp;" "&amp;F169&amp;" "&amp;K169&amp;" "&amp;L169</f>
        <v>Fruit Blend Gallon Mixed Berry 1Nos 4Ltr</v>
      </c>
      <c r="N169" s="5">
        <f>COUNTIF(M:M,M169)</f>
        <v>1</v>
      </c>
    </row>
    <row r="170" spans="1:14" x14ac:dyDescent="0.35">
      <c r="A170" s="4">
        <v>317</v>
      </c>
      <c r="B170" s="5" t="s">
        <v>110</v>
      </c>
      <c r="C170" s="5" t="str">
        <f>B170&amp;A170</f>
        <v>BG317</v>
      </c>
      <c r="D170" s="4" t="s">
        <v>111</v>
      </c>
      <c r="E170" s="5" t="s">
        <v>133</v>
      </c>
      <c r="F170" s="5" t="s">
        <v>141</v>
      </c>
      <c r="G170" s="13">
        <v>900</v>
      </c>
      <c r="H170" s="9">
        <v>0.05</v>
      </c>
      <c r="I170" s="13">
        <f t="shared" si="6"/>
        <v>45</v>
      </c>
      <c r="J170" s="13">
        <f t="shared" si="7"/>
        <v>945</v>
      </c>
      <c r="K170" s="6" t="s">
        <v>113</v>
      </c>
      <c r="L170" s="5" t="s">
        <v>114</v>
      </c>
      <c r="M170" s="5" t="str">
        <f>E170&amp;" "&amp;F170&amp;" "&amp;K170&amp;" "&amp;L170</f>
        <v>Fruit Blend Gallon Mukkani (Mango, Jackfruit, Banana) 1Nos 4Ltr</v>
      </c>
      <c r="N170" s="5">
        <f>COUNTIF(M:M,M170)</f>
        <v>1</v>
      </c>
    </row>
    <row r="171" spans="1:14" x14ac:dyDescent="0.35">
      <c r="A171" s="4">
        <v>318</v>
      </c>
      <c r="B171" s="5" t="s">
        <v>110</v>
      </c>
      <c r="C171" s="5" t="str">
        <f>B171&amp;A171</f>
        <v>BG318</v>
      </c>
      <c r="D171" s="4" t="s">
        <v>111</v>
      </c>
      <c r="E171" s="5" t="s">
        <v>133</v>
      </c>
      <c r="F171" s="5" t="s">
        <v>35</v>
      </c>
      <c r="G171" s="13">
        <v>900</v>
      </c>
      <c r="H171" s="9">
        <v>0.05</v>
      </c>
      <c r="I171" s="13">
        <f t="shared" si="6"/>
        <v>45</v>
      </c>
      <c r="J171" s="13">
        <f t="shared" si="7"/>
        <v>945</v>
      </c>
      <c r="K171" s="6" t="s">
        <v>113</v>
      </c>
      <c r="L171" s="5" t="s">
        <v>114</v>
      </c>
      <c r="M171" s="5" t="str">
        <f>E171&amp;" "&amp;F171&amp;" "&amp;K171&amp;" "&amp;L171</f>
        <v>Fruit Blend Gallon Calcutta Paan 1Nos 4Ltr</v>
      </c>
      <c r="N171" s="5">
        <f>COUNTIF(M:M,M171)</f>
        <v>1</v>
      </c>
    </row>
    <row r="172" spans="1:14" x14ac:dyDescent="0.35">
      <c r="A172" s="4">
        <v>319</v>
      </c>
      <c r="B172" s="5" t="s">
        <v>110</v>
      </c>
      <c r="C172" s="5" t="str">
        <f>B172&amp;A172</f>
        <v>BG319</v>
      </c>
      <c r="D172" s="4" t="s">
        <v>111</v>
      </c>
      <c r="E172" s="5" t="s">
        <v>133</v>
      </c>
      <c r="F172" s="5" t="s">
        <v>142</v>
      </c>
      <c r="G172" s="13">
        <v>900</v>
      </c>
      <c r="H172" s="9">
        <v>0.05</v>
      </c>
      <c r="I172" s="13">
        <f t="shared" si="6"/>
        <v>45</v>
      </c>
      <c r="J172" s="13">
        <f t="shared" si="7"/>
        <v>945</v>
      </c>
      <c r="K172" s="6" t="s">
        <v>113</v>
      </c>
      <c r="L172" s="5" t="s">
        <v>114</v>
      </c>
      <c r="M172" s="5" t="str">
        <f>E172&amp;" "&amp;F172&amp;" "&amp;K172&amp;" "&amp;L172</f>
        <v>Fruit Blend Gallon Pineapple Delight 1Nos 4Ltr</v>
      </c>
      <c r="N172" s="5">
        <f>COUNTIF(M:M,M172)</f>
        <v>1</v>
      </c>
    </row>
    <row r="173" spans="1:14" x14ac:dyDescent="0.35">
      <c r="A173" s="4">
        <v>320</v>
      </c>
      <c r="B173" s="5" t="s">
        <v>110</v>
      </c>
      <c r="C173" s="5" t="str">
        <f>B173&amp;A173</f>
        <v>BG320</v>
      </c>
      <c r="D173" s="4" t="s">
        <v>111</v>
      </c>
      <c r="E173" s="5" t="s">
        <v>133</v>
      </c>
      <c r="F173" s="5" t="s">
        <v>59</v>
      </c>
      <c r="G173" s="13">
        <v>900</v>
      </c>
      <c r="H173" s="9">
        <v>0.05</v>
      </c>
      <c r="I173" s="13">
        <f t="shared" si="6"/>
        <v>45</v>
      </c>
      <c r="J173" s="13">
        <f t="shared" si="7"/>
        <v>945</v>
      </c>
      <c r="K173" s="6" t="s">
        <v>113</v>
      </c>
      <c r="L173" s="5" t="s">
        <v>114</v>
      </c>
      <c r="M173" s="5" t="str">
        <f>E173&amp;" "&amp;F173&amp;" "&amp;K173&amp;" "&amp;L173</f>
        <v>Fruit Blend Gallon Rasberry 1Nos 4Ltr</v>
      </c>
      <c r="N173" s="5">
        <f>COUNTIF(M:M,M173)</f>
        <v>1</v>
      </c>
    </row>
    <row r="174" spans="1:14" x14ac:dyDescent="0.35">
      <c r="A174" s="4">
        <v>321</v>
      </c>
      <c r="B174" s="5" t="s">
        <v>110</v>
      </c>
      <c r="C174" s="5" t="str">
        <f>B174&amp;A174</f>
        <v>BG321</v>
      </c>
      <c r="D174" s="4" t="s">
        <v>111</v>
      </c>
      <c r="E174" s="5" t="s">
        <v>133</v>
      </c>
      <c r="F174" s="5" t="s">
        <v>143</v>
      </c>
      <c r="G174" s="13">
        <v>900</v>
      </c>
      <c r="H174" s="9">
        <v>0.05</v>
      </c>
      <c r="I174" s="13">
        <f t="shared" si="6"/>
        <v>45</v>
      </c>
      <c r="J174" s="13">
        <f t="shared" si="7"/>
        <v>945</v>
      </c>
      <c r="K174" s="6" t="s">
        <v>113</v>
      </c>
      <c r="L174" s="5" t="s">
        <v>114</v>
      </c>
      <c r="M174" s="5" t="str">
        <f>E174&amp;" "&amp;F174&amp;" "&amp;K174&amp;" "&amp;L174</f>
        <v>Fruit Blend Gallon Strawberry Pure 1Nos 4Ltr</v>
      </c>
      <c r="N174" s="5">
        <f>COUNTIF(M:M,M174)</f>
        <v>1</v>
      </c>
    </row>
    <row r="175" spans="1:14" x14ac:dyDescent="0.35">
      <c r="A175" s="4">
        <v>322</v>
      </c>
      <c r="B175" s="5" t="s">
        <v>110</v>
      </c>
      <c r="C175" s="5" t="str">
        <f>B175&amp;A175</f>
        <v>BG322</v>
      </c>
      <c r="D175" s="4" t="s">
        <v>111</v>
      </c>
      <c r="E175" s="5" t="s">
        <v>133</v>
      </c>
      <c r="F175" s="5" t="s">
        <v>61</v>
      </c>
      <c r="G175" s="13">
        <v>950</v>
      </c>
      <c r="H175" s="9">
        <v>0.05</v>
      </c>
      <c r="I175" s="13">
        <f t="shared" si="6"/>
        <v>47.5</v>
      </c>
      <c r="J175" s="13">
        <f t="shared" si="7"/>
        <v>997.5</v>
      </c>
      <c r="K175" s="6" t="s">
        <v>113</v>
      </c>
      <c r="L175" s="5" t="s">
        <v>114</v>
      </c>
      <c r="M175" s="5" t="str">
        <f>E175&amp;" "&amp;F175&amp;" "&amp;K175&amp;" "&amp;L175</f>
        <v>Fruit Blend Gallon Tender Coconut 1Nos 4Ltr</v>
      </c>
      <c r="N175" s="5">
        <f>COUNTIF(M:M,M175)</f>
        <v>1</v>
      </c>
    </row>
    <row r="176" spans="1:14" x14ac:dyDescent="0.35">
      <c r="A176" s="4">
        <v>1</v>
      </c>
      <c r="B176" s="5" t="s">
        <v>144</v>
      </c>
      <c r="C176" s="5" t="str">
        <f>B176&amp;A176</f>
        <v>T1</v>
      </c>
      <c r="D176" s="4" t="s">
        <v>145</v>
      </c>
      <c r="E176" s="5" t="s">
        <v>146</v>
      </c>
      <c r="F176" s="5" t="s">
        <v>96</v>
      </c>
      <c r="G176" s="7">
        <v>150</v>
      </c>
      <c r="H176" s="9">
        <v>0.05</v>
      </c>
      <c r="I176" s="13">
        <f t="shared" si="6"/>
        <v>7.5</v>
      </c>
      <c r="J176" s="13">
        <f t="shared" si="7"/>
        <v>157.5</v>
      </c>
      <c r="K176" s="6" t="s">
        <v>113</v>
      </c>
      <c r="L176" s="5" t="s">
        <v>147</v>
      </c>
      <c r="M176" s="5" t="str">
        <f>E176&amp;" "&amp;F176&amp;" "&amp;K176&amp;" "&amp;L176</f>
        <v>Tub Ice Cream Vanilla 1Nos 500ML</v>
      </c>
      <c r="N176" s="5">
        <f>COUNTIF(M:M,M176)</f>
        <v>1</v>
      </c>
    </row>
    <row r="177" spans="1:14" x14ac:dyDescent="0.35">
      <c r="A177" s="4">
        <v>2</v>
      </c>
      <c r="B177" s="5" t="s">
        <v>144</v>
      </c>
      <c r="C177" s="5" t="str">
        <f>B177&amp;A177</f>
        <v>T2</v>
      </c>
      <c r="D177" s="4" t="s">
        <v>145</v>
      </c>
      <c r="E177" s="5" t="s">
        <v>146</v>
      </c>
      <c r="F177" s="5" t="s">
        <v>29</v>
      </c>
      <c r="G177" s="7">
        <v>150</v>
      </c>
      <c r="H177" s="9">
        <v>0.05</v>
      </c>
      <c r="I177" s="13">
        <f t="shared" si="6"/>
        <v>7.5</v>
      </c>
      <c r="J177" s="13">
        <f t="shared" si="7"/>
        <v>157.5</v>
      </c>
      <c r="K177" s="6" t="s">
        <v>113</v>
      </c>
      <c r="L177" s="5" t="s">
        <v>147</v>
      </c>
      <c r="M177" s="5" t="str">
        <f>E177&amp;" "&amp;F177&amp;" "&amp;K177&amp;" "&amp;L177</f>
        <v>Tub Ice Cream Strawberry 1Nos 500ML</v>
      </c>
      <c r="N177" s="5">
        <f>COUNTIF(M:M,M177)</f>
        <v>1</v>
      </c>
    </row>
    <row r="178" spans="1:14" x14ac:dyDescent="0.35">
      <c r="A178" s="4">
        <v>3</v>
      </c>
      <c r="B178" s="5" t="s">
        <v>144</v>
      </c>
      <c r="C178" s="5" t="str">
        <f>B178&amp;A178</f>
        <v>T3</v>
      </c>
      <c r="D178" s="4" t="s">
        <v>145</v>
      </c>
      <c r="E178" s="5" t="s">
        <v>146</v>
      </c>
      <c r="F178" s="5" t="s">
        <v>22</v>
      </c>
      <c r="G178" s="7">
        <v>150</v>
      </c>
      <c r="H178" s="9">
        <v>0.05</v>
      </c>
      <c r="I178" s="13">
        <f t="shared" si="6"/>
        <v>7.5</v>
      </c>
      <c r="J178" s="13">
        <f t="shared" si="7"/>
        <v>157.5</v>
      </c>
      <c r="K178" s="6" t="s">
        <v>113</v>
      </c>
      <c r="L178" s="5" t="s">
        <v>147</v>
      </c>
      <c r="M178" s="5" t="str">
        <f>E178&amp;" "&amp;F178&amp;" "&amp;K178&amp;" "&amp;L178</f>
        <v>Tub Ice Cream Chocolate 1Nos 500ML</v>
      </c>
      <c r="N178" s="5">
        <f>COUNTIF(M:M,M178)</f>
        <v>1</v>
      </c>
    </row>
    <row r="179" spans="1:14" x14ac:dyDescent="0.35">
      <c r="A179" s="4">
        <v>4</v>
      </c>
      <c r="B179" s="5" t="s">
        <v>144</v>
      </c>
      <c r="C179" s="5" t="str">
        <f>B179&amp;A179</f>
        <v>T4</v>
      </c>
      <c r="D179" s="4" t="s">
        <v>145</v>
      </c>
      <c r="E179" s="5" t="s">
        <v>146</v>
      </c>
      <c r="F179" s="5" t="s">
        <v>117</v>
      </c>
      <c r="G179" s="7">
        <v>150</v>
      </c>
      <c r="H179" s="9">
        <v>0.05</v>
      </c>
      <c r="I179" s="13">
        <f t="shared" si="6"/>
        <v>7.5</v>
      </c>
      <c r="J179" s="13">
        <f t="shared" si="7"/>
        <v>157.5</v>
      </c>
      <c r="K179" s="6" t="s">
        <v>113</v>
      </c>
      <c r="L179" s="5" t="s">
        <v>147</v>
      </c>
      <c r="M179" s="5" t="str">
        <f>E179&amp;" "&amp;F179&amp;" "&amp;K179&amp;" "&amp;L179</f>
        <v>Tub Ice Cream Chocolate Chips 1Nos 500ML</v>
      </c>
      <c r="N179" s="5">
        <f>COUNTIF(M:M,M179)</f>
        <v>1</v>
      </c>
    </row>
    <row r="180" spans="1:14" x14ac:dyDescent="0.35">
      <c r="A180" s="4">
        <v>5</v>
      </c>
      <c r="B180" s="5" t="s">
        <v>144</v>
      </c>
      <c r="C180" s="5" t="str">
        <f>B180&amp;A180</f>
        <v>T5</v>
      </c>
      <c r="D180" s="4" t="s">
        <v>145</v>
      </c>
      <c r="E180" s="5" t="s">
        <v>146</v>
      </c>
      <c r="F180" s="5" t="s">
        <v>127</v>
      </c>
      <c r="G180" s="7">
        <v>150</v>
      </c>
      <c r="H180" s="9">
        <v>0.05</v>
      </c>
      <c r="I180" s="13">
        <f t="shared" si="6"/>
        <v>7.5</v>
      </c>
      <c r="J180" s="13">
        <f t="shared" si="7"/>
        <v>157.5</v>
      </c>
      <c r="K180" s="6" t="s">
        <v>113</v>
      </c>
      <c r="L180" s="5" t="s">
        <v>147</v>
      </c>
      <c r="M180" s="5" t="str">
        <f>E180&amp;" "&amp;F180&amp;" "&amp;K180&amp;" "&amp;L180</f>
        <v>Tub Ice Cream Choco Brownine 1Nos 500ML</v>
      </c>
      <c r="N180" s="5">
        <f>COUNTIF(M:M,M180)</f>
        <v>1</v>
      </c>
    </row>
    <row r="181" spans="1:14" x14ac:dyDescent="0.35">
      <c r="A181" s="4">
        <v>6</v>
      </c>
      <c r="B181" s="5" t="s">
        <v>144</v>
      </c>
      <c r="C181" s="5" t="str">
        <f>B181&amp;A181</f>
        <v>T6</v>
      </c>
      <c r="D181" s="4" t="s">
        <v>145</v>
      </c>
      <c r="E181" s="5" t="s">
        <v>146</v>
      </c>
      <c r="F181" s="5" t="s">
        <v>24</v>
      </c>
      <c r="G181" s="7">
        <v>150</v>
      </c>
      <c r="H181" s="9">
        <v>0.05</v>
      </c>
      <c r="I181" s="13">
        <f t="shared" si="6"/>
        <v>7.5</v>
      </c>
      <c r="J181" s="13">
        <f t="shared" si="7"/>
        <v>157.5</v>
      </c>
      <c r="K181" s="6" t="s">
        <v>113</v>
      </c>
      <c r="L181" s="5" t="s">
        <v>147</v>
      </c>
      <c r="M181" s="5" t="str">
        <f>E181&amp;" "&amp;F181&amp;" "&amp;K181&amp;" "&amp;L181</f>
        <v>Tub Ice Cream Butterscotch 1Nos 500ML</v>
      </c>
      <c r="N181" s="5">
        <f>COUNTIF(M:M,M181)</f>
        <v>1</v>
      </c>
    </row>
    <row r="182" spans="1:14" x14ac:dyDescent="0.35">
      <c r="A182" s="4">
        <v>7</v>
      </c>
      <c r="B182" s="5" t="s">
        <v>144</v>
      </c>
      <c r="C182" s="5" t="str">
        <f>B182&amp;A182</f>
        <v>T7</v>
      </c>
      <c r="D182" s="4" t="s">
        <v>145</v>
      </c>
      <c r="E182" s="5" t="s">
        <v>146</v>
      </c>
      <c r="F182" s="5" t="s">
        <v>36</v>
      </c>
      <c r="G182" s="7">
        <v>150</v>
      </c>
      <c r="H182" s="9">
        <v>0.05</v>
      </c>
      <c r="I182" s="13">
        <f t="shared" si="6"/>
        <v>7.5</v>
      </c>
      <c r="J182" s="13">
        <f t="shared" si="7"/>
        <v>157.5</v>
      </c>
      <c r="K182" s="6" t="s">
        <v>113</v>
      </c>
      <c r="L182" s="5" t="s">
        <v>147</v>
      </c>
      <c r="M182" s="5" t="str">
        <f>E182&amp;" "&amp;F182&amp;" "&amp;K182&amp;" "&amp;L182</f>
        <v>Tub Ice Cream Dry Fruit 1Nos 500ML</v>
      </c>
      <c r="N182" s="5">
        <f>COUNTIF(M:M,M182)</f>
        <v>1</v>
      </c>
    </row>
    <row r="183" spans="1:14" x14ac:dyDescent="0.35">
      <c r="A183" s="4">
        <v>8</v>
      </c>
      <c r="B183" s="5" t="s">
        <v>144</v>
      </c>
      <c r="C183" s="5" t="str">
        <f>B183&amp;A183</f>
        <v>T8</v>
      </c>
      <c r="D183" s="4" t="s">
        <v>145</v>
      </c>
      <c r="E183" s="5" t="s">
        <v>146</v>
      </c>
      <c r="F183" s="5" t="s">
        <v>57</v>
      </c>
      <c r="G183" s="7">
        <v>150</v>
      </c>
      <c r="H183" s="9">
        <v>0.05</v>
      </c>
      <c r="I183" s="13">
        <f t="shared" si="6"/>
        <v>7.5</v>
      </c>
      <c r="J183" s="13">
        <f t="shared" si="7"/>
        <v>157.5</v>
      </c>
      <c r="K183" s="6" t="s">
        <v>113</v>
      </c>
      <c r="L183" s="5" t="s">
        <v>147</v>
      </c>
      <c r="M183" s="5" t="str">
        <f>E183&amp;" "&amp;F183&amp;" "&amp;K183&amp;" "&amp;L183</f>
        <v>Tub Ice Cream Mango 1Nos 500ML</v>
      </c>
      <c r="N183" s="5">
        <f>COUNTIF(M:M,M183)</f>
        <v>1</v>
      </c>
    </row>
    <row r="184" spans="1:14" x14ac:dyDescent="0.35">
      <c r="A184" s="4">
        <v>9</v>
      </c>
      <c r="B184" s="5" t="s">
        <v>144</v>
      </c>
      <c r="C184" s="5" t="str">
        <f>B184&amp;A184</f>
        <v>T9</v>
      </c>
      <c r="D184" s="4" t="s">
        <v>145</v>
      </c>
      <c r="E184" s="5" t="s">
        <v>146</v>
      </c>
      <c r="F184" s="5" t="s">
        <v>143</v>
      </c>
      <c r="G184" s="7">
        <v>150</v>
      </c>
      <c r="H184" s="9">
        <v>0.05</v>
      </c>
      <c r="I184" s="13">
        <f t="shared" si="6"/>
        <v>7.5</v>
      </c>
      <c r="J184" s="13">
        <f t="shared" si="7"/>
        <v>157.5</v>
      </c>
      <c r="K184" s="6" t="s">
        <v>113</v>
      </c>
      <c r="L184" s="5" t="s">
        <v>147</v>
      </c>
      <c r="M184" s="5" t="str">
        <f>E184&amp;" "&amp;F184&amp;" "&amp;K184&amp;" "&amp;L184</f>
        <v>Tub Ice Cream Strawberry Pure 1Nos 500ML</v>
      </c>
      <c r="N184" s="5">
        <f>COUNTIF(M:M,M184)</f>
        <v>1</v>
      </c>
    </row>
    <row r="185" spans="1:14" x14ac:dyDescent="0.35">
      <c r="A185" s="4">
        <v>10</v>
      </c>
      <c r="B185" s="5" t="s">
        <v>144</v>
      </c>
      <c r="C185" s="5" t="str">
        <f>B185&amp;A185</f>
        <v>T10</v>
      </c>
      <c r="D185" s="4" t="s">
        <v>145</v>
      </c>
      <c r="E185" s="5" t="s">
        <v>146</v>
      </c>
      <c r="F185" s="5" t="s">
        <v>58</v>
      </c>
      <c r="G185" s="7">
        <v>150</v>
      </c>
      <c r="H185" s="9">
        <v>0.05</v>
      </c>
      <c r="I185" s="13">
        <f t="shared" ref="I185:I208" si="8">G185*H185</f>
        <v>7.5</v>
      </c>
      <c r="J185" s="13">
        <f t="shared" ref="J185:J208" si="9">G185+I185</f>
        <v>157.5</v>
      </c>
      <c r="K185" s="6" t="s">
        <v>113</v>
      </c>
      <c r="L185" s="5" t="s">
        <v>147</v>
      </c>
      <c r="M185" s="5" t="str">
        <f>E185&amp;" "&amp;F185&amp;" "&amp;K185&amp;" "&amp;L185</f>
        <v>Tub Ice Cream Mixed Berry 1Nos 500ML</v>
      </c>
      <c r="N185" s="5">
        <f>COUNTIF(M:M,M185)</f>
        <v>1</v>
      </c>
    </row>
    <row r="186" spans="1:14" x14ac:dyDescent="0.35">
      <c r="A186" s="4">
        <v>11</v>
      </c>
      <c r="B186" s="5" t="s">
        <v>144</v>
      </c>
      <c r="C186" s="5" t="str">
        <f>B186&amp;A186</f>
        <v>T11</v>
      </c>
      <c r="D186" s="4" t="s">
        <v>145</v>
      </c>
      <c r="E186" s="5" t="s">
        <v>146</v>
      </c>
      <c r="F186" s="5" t="s">
        <v>46</v>
      </c>
      <c r="G186" s="7">
        <v>170</v>
      </c>
      <c r="H186" s="9">
        <v>0.05</v>
      </c>
      <c r="I186" s="13">
        <f t="shared" si="8"/>
        <v>8.5</v>
      </c>
      <c r="J186" s="13">
        <f t="shared" si="9"/>
        <v>178.5</v>
      </c>
      <c r="K186" s="6" t="s">
        <v>113</v>
      </c>
      <c r="L186" s="5" t="s">
        <v>147</v>
      </c>
      <c r="M186" s="5" t="str">
        <f>E186&amp;" "&amp;F186&amp;" "&amp;K186&amp;" "&amp;L186</f>
        <v>Tub Ice Cream Cookies 1Nos 500ML</v>
      </c>
      <c r="N186" s="5">
        <f>COUNTIF(M:M,M186)</f>
        <v>1</v>
      </c>
    </row>
    <row r="187" spans="1:14" x14ac:dyDescent="0.35">
      <c r="A187" s="4">
        <v>12</v>
      </c>
      <c r="B187" s="5" t="s">
        <v>144</v>
      </c>
      <c r="C187" s="5" t="str">
        <f>B187&amp;A187</f>
        <v>T12</v>
      </c>
      <c r="D187" s="4" t="s">
        <v>145</v>
      </c>
      <c r="E187" s="5" t="s">
        <v>146</v>
      </c>
      <c r="F187" s="5" t="s">
        <v>15</v>
      </c>
      <c r="G187" s="7">
        <v>170</v>
      </c>
      <c r="H187" s="9">
        <v>0.05</v>
      </c>
      <c r="I187" s="13">
        <f t="shared" si="8"/>
        <v>8.5</v>
      </c>
      <c r="J187" s="13">
        <f t="shared" si="9"/>
        <v>178.5</v>
      </c>
      <c r="K187" s="6" t="s">
        <v>113</v>
      </c>
      <c r="L187" s="5" t="s">
        <v>147</v>
      </c>
      <c r="M187" s="5" t="str">
        <f>E187&amp;" "&amp;F187&amp;" "&amp;K187&amp;" "&amp;L187</f>
        <v>Tub Ice Cream Desi Malai 1Nos 500ML</v>
      </c>
      <c r="N187" s="5">
        <f>COUNTIF(M:M,M187)</f>
        <v>1</v>
      </c>
    </row>
    <row r="188" spans="1:14" x14ac:dyDescent="0.35">
      <c r="A188" s="4">
        <v>13</v>
      </c>
      <c r="B188" s="5" t="s">
        <v>144</v>
      </c>
      <c r="C188" s="5" t="str">
        <f>B188&amp;A188</f>
        <v>T13</v>
      </c>
      <c r="D188" s="4" t="s">
        <v>145</v>
      </c>
      <c r="E188" s="5" t="s">
        <v>146</v>
      </c>
      <c r="F188" s="5" t="s">
        <v>130</v>
      </c>
      <c r="G188" s="7">
        <v>170</v>
      </c>
      <c r="H188" s="9">
        <v>0.05</v>
      </c>
      <c r="I188" s="13">
        <f t="shared" si="8"/>
        <v>8.5</v>
      </c>
      <c r="J188" s="13">
        <f t="shared" si="9"/>
        <v>178.5</v>
      </c>
      <c r="K188" s="6" t="s">
        <v>113</v>
      </c>
      <c r="L188" s="5" t="s">
        <v>147</v>
      </c>
      <c r="M188" s="5" t="str">
        <f>E188&amp;" "&amp;F188&amp;" "&amp;K188&amp;" "&amp;L188</f>
        <v>Tub Ice Cream Spanish Delight 1Nos 500ML</v>
      </c>
      <c r="N188" s="5">
        <f>COUNTIF(M:M,M188)</f>
        <v>1</v>
      </c>
    </row>
    <row r="189" spans="1:14" x14ac:dyDescent="0.35">
      <c r="A189" s="4">
        <v>14</v>
      </c>
      <c r="B189" s="5" t="s">
        <v>144</v>
      </c>
      <c r="C189" s="5" t="str">
        <f>B189&amp;A189</f>
        <v>T14</v>
      </c>
      <c r="D189" s="4" t="s">
        <v>145</v>
      </c>
      <c r="E189" s="5" t="s">
        <v>146</v>
      </c>
      <c r="F189" s="5" t="s">
        <v>116</v>
      </c>
      <c r="G189" s="7">
        <v>170</v>
      </c>
      <c r="H189" s="9">
        <v>0.05</v>
      </c>
      <c r="I189" s="13">
        <f t="shared" si="8"/>
        <v>8.5</v>
      </c>
      <c r="J189" s="13">
        <f t="shared" si="9"/>
        <v>178.5</v>
      </c>
      <c r="K189" s="6" t="s">
        <v>113</v>
      </c>
      <c r="L189" s="5" t="s">
        <v>147</v>
      </c>
      <c r="M189" s="5" t="str">
        <f>E189&amp;" "&amp;F189&amp;" "&amp;K189&amp;" "&amp;L189</f>
        <v>Tub Ice Cream Madras Coffee  1Nos 500ML</v>
      </c>
      <c r="N189" s="5">
        <f>COUNTIF(M:M,M189)</f>
        <v>1</v>
      </c>
    </row>
    <row r="190" spans="1:14" x14ac:dyDescent="0.35">
      <c r="A190" s="4">
        <v>15</v>
      </c>
      <c r="B190" s="5" t="s">
        <v>144</v>
      </c>
      <c r="C190" s="5" t="str">
        <f>B190&amp;A190</f>
        <v>T15</v>
      </c>
      <c r="D190" s="4" t="s">
        <v>145</v>
      </c>
      <c r="E190" s="5" t="s">
        <v>146</v>
      </c>
      <c r="F190" s="5" t="s">
        <v>105</v>
      </c>
      <c r="G190" s="7">
        <v>170</v>
      </c>
      <c r="H190" s="9">
        <v>0.05</v>
      </c>
      <c r="I190" s="13">
        <f t="shared" si="8"/>
        <v>8.5</v>
      </c>
      <c r="J190" s="13">
        <f t="shared" si="9"/>
        <v>178.5</v>
      </c>
      <c r="K190" s="6" t="s">
        <v>113</v>
      </c>
      <c r="L190" s="5" t="s">
        <v>147</v>
      </c>
      <c r="M190" s="5" t="str">
        <f>E190&amp;" "&amp;F190&amp;" "&amp;K190&amp;" "&amp;L190</f>
        <v>Tub Ice Cream Pista 1Nos 500ML</v>
      </c>
      <c r="N190" s="5">
        <f>COUNTIF(M:M,M190)</f>
        <v>1</v>
      </c>
    </row>
    <row r="191" spans="1:14" x14ac:dyDescent="0.35">
      <c r="A191" s="4">
        <v>1</v>
      </c>
      <c r="B191" s="5" t="s">
        <v>148</v>
      </c>
      <c r="C191" s="5" t="str">
        <f>B191&amp;A191</f>
        <v>FP1</v>
      </c>
      <c r="D191" s="4" t="s">
        <v>149</v>
      </c>
      <c r="E191" s="5" t="s">
        <v>150</v>
      </c>
      <c r="F191" s="5" t="s">
        <v>96</v>
      </c>
      <c r="G191" s="7" t="s">
        <v>151</v>
      </c>
      <c r="H191" s="9">
        <v>0.05</v>
      </c>
      <c r="I191" s="13" t="e">
        <f t="shared" si="8"/>
        <v>#VALUE!</v>
      </c>
      <c r="J191" s="13" t="e">
        <f t="shared" si="9"/>
        <v>#VALUE!</v>
      </c>
      <c r="K191" s="6" t="s">
        <v>113</v>
      </c>
      <c r="L191" s="5" t="s">
        <v>152</v>
      </c>
      <c r="M191" s="5" t="str">
        <f>E191&amp;" "&amp;F191&amp;" "&amp;K191&amp;" "&amp;L191</f>
        <v>Family Pack 700ML Vanilla 1Nos 700 ML</v>
      </c>
      <c r="N191" s="5">
        <f>COUNTIF(M:M,M191)</f>
        <v>1</v>
      </c>
    </row>
    <row r="192" spans="1:14" x14ac:dyDescent="0.35">
      <c r="A192" s="4">
        <v>2</v>
      </c>
      <c r="B192" s="5" t="s">
        <v>148</v>
      </c>
      <c r="C192" s="5" t="str">
        <f>B192&amp;A192</f>
        <v>FP2</v>
      </c>
      <c r="D192" s="4" t="s">
        <v>149</v>
      </c>
      <c r="E192" s="5" t="s">
        <v>150</v>
      </c>
      <c r="F192" s="5" t="s">
        <v>29</v>
      </c>
      <c r="G192" s="7" t="s">
        <v>151</v>
      </c>
      <c r="H192" s="9">
        <v>0.05</v>
      </c>
      <c r="I192" s="13" t="e">
        <f t="shared" si="8"/>
        <v>#VALUE!</v>
      </c>
      <c r="J192" s="13" t="e">
        <f t="shared" si="9"/>
        <v>#VALUE!</v>
      </c>
      <c r="K192" s="6" t="s">
        <v>113</v>
      </c>
      <c r="L192" s="5" t="s">
        <v>152</v>
      </c>
      <c r="M192" s="5" t="str">
        <f>E192&amp;" "&amp;F192&amp;" "&amp;K192&amp;" "&amp;L192</f>
        <v>Family Pack 700ML Strawberry 1Nos 700 ML</v>
      </c>
      <c r="N192" s="5">
        <f>COUNTIF(M:M,M192)</f>
        <v>1</v>
      </c>
    </row>
    <row r="193" spans="1:14" x14ac:dyDescent="0.35">
      <c r="A193" s="4">
        <v>3</v>
      </c>
      <c r="B193" s="5" t="s">
        <v>148</v>
      </c>
      <c r="C193" s="5" t="str">
        <f>B193&amp;A193</f>
        <v>FP3</v>
      </c>
      <c r="D193" s="4" t="s">
        <v>149</v>
      </c>
      <c r="E193" s="5" t="s">
        <v>150</v>
      </c>
      <c r="F193" s="5" t="s">
        <v>22</v>
      </c>
      <c r="G193" s="7" t="s">
        <v>151</v>
      </c>
      <c r="H193" s="9">
        <v>0.05</v>
      </c>
      <c r="I193" s="13" t="e">
        <f t="shared" si="8"/>
        <v>#VALUE!</v>
      </c>
      <c r="J193" s="13" t="e">
        <f t="shared" si="9"/>
        <v>#VALUE!</v>
      </c>
      <c r="K193" s="6" t="s">
        <v>113</v>
      </c>
      <c r="L193" s="5" t="s">
        <v>152</v>
      </c>
      <c r="M193" s="5" t="str">
        <f>E193&amp;" "&amp;F193&amp;" "&amp;K193&amp;" "&amp;L193</f>
        <v>Family Pack 700ML Chocolate 1Nos 700 ML</v>
      </c>
      <c r="N193" s="5">
        <f>COUNTIF(M:M,M193)</f>
        <v>1</v>
      </c>
    </row>
    <row r="194" spans="1:14" x14ac:dyDescent="0.35">
      <c r="A194" s="4">
        <v>4</v>
      </c>
      <c r="B194" s="5" t="s">
        <v>148</v>
      </c>
      <c r="C194" s="5" t="str">
        <f>B194&amp;A194</f>
        <v>FP4</v>
      </c>
      <c r="D194" s="4" t="s">
        <v>149</v>
      </c>
      <c r="E194" s="5" t="s">
        <v>150</v>
      </c>
      <c r="F194" s="5" t="s">
        <v>24</v>
      </c>
      <c r="G194" s="7" t="s">
        <v>151</v>
      </c>
      <c r="H194" s="9">
        <v>0.05</v>
      </c>
      <c r="I194" s="13" t="e">
        <f t="shared" si="8"/>
        <v>#VALUE!</v>
      </c>
      <c r="J194" s="13" t="e">
        <f t="shared" si="9"/>
        <v>#VALUE!</v>
      </c>
      <c r="K194" s="6" t="s">
        <v>113</v>
      </c>
      <c r="L194" s="5" t="s">
        <v>152</v>
      </c>
      <c r="M194" s="5" t="str">
        <f>E194&amp;" "&amp;F194&amp;" "&amp;K194&amp;" "&amp;L194</f>
        <v>Family Pack 700ML Butterscotch 1Nos 700 ML</v>
      </c>
      <c r="N194" s="5">
        <f>COUNTIF(M:M,M194)</f>
        <v>1</v>
      </c>
    </row>
    <row r="195" spans="1:14" x14ac:dyDescent="0.35">
      <c r="A195" s="4">
        <v>5</v>
      </c>
      <c r="B195" s="5" t="s">
        <v>148</v>
      </c>
      <c r="C195" s="5" t="str">
        <f>B195&amp;A195</f>
        <v>FP5</v>
      </c>
      <c r="D195" s="4" t="s">
        <v>149</v>
      </c>
      <c r="E195" s="5" t="s">
        <v>150</v>
      </c>
      <c r="F195" s="5" t="s">
        <v>36</v>
      </c>
      <c r="G195" s="7" t="s">
        <v>151</v>
      </c>
      <c r="H195" s="9">
        <v>0.05</v>
      </c>
      <c r="I195" s="13" t="e">
        <f t="shared" si="8"/>
        <v>#VALUE!</v>
      </c>
      <c r="J195" s="13" t="e">
        <f t="shared" si="9"/>
        <v>#VALUE!</v>
      </c>
      <c r="K195" s="6" t="s">
        <v>113</v>
      </c>
      <c r="L195" s="5" t="s">
        <v>152</v>
      </c>
      <c r="M195" s="5" t="str">
        <f>E195&amp;" "&amp;F195&amp;" "&amp;K195&amp;" "&amp;L195</f>
        <v>Family Pack 700ML Dry Fruit 1Nos 700 ML</v>
      </c>
      <c r="N195" s="5">
        <f>COUNTIF(M:M,M195)</f>
        <v>1</v>
      </c>
    </row>
    <row r="196" spans="1:14" x14ac:dyDescent="0.35">
      <c r="A196" s="4">
        <v>6</v>
      </c>
      <c r="B196" s="5" t="s">
        <v>148</v>
      </c>
      <c r="C196" s="5" t="str">
        <f>B196&amp;A196</f>
        <v>FP6</v>
      </c>
      <c r="D196" s="4" t="s">
        <v>149</v>
      </c>
      <c r="E196" s="5" t="s">
        <v>150</v>
      </c>
      <c r="F196" s="5" t="s">
        <v>57</v>
      </c>
      <c r="G196" s="7" t="s">
        <v>151</v>
      </c>
      <c r="H196" s="9">
        <v>0.05</v>
      </c>
      <c r="I196" s="13" t="e">
        <f t="shared" si="8"/>
        <v>#VALUE!</v>
      </c>
      <c r="J196" s="13" t="e">
        <f t="shared" si="9"/>
        <v>#VALUE!</v>
      </c>
      <c r="K196" s="6" t="s">
        <v>113</v>
      </c>
      <c r="L196" s="5" t="s">
        <v>152</v>
      </c>
      <c r="M196" s="5" t="str">
        <f>E196&amp;" "&amp;F196&amp;" "&amp;K196&amp;" "&amp;L196</f>
        <v>Family Pack 700ML Mango 1Nos 700 ML</v>
      </c>
      <c r="N196" s="5">
        <f>COUNTIF(M:M,M196)</f>
        <v>1</v>
      </c>
    </row>
    <row r="197" spans="1:14" x14ac:dyDescent="0.35">
      <c r="A197" s="4">
        <v>7</v>
      </c>
      <c r="B197" s="5" t="s">
        <v>148</v>
      </c>
      <c r="C197" s="5" t="str">
        <f>B197&amp;A197</f>
        <v>FP7</v>
      </c>
      <c r="D197" s="4" t="s">
        <v>149</v>
      </c>
      <c r="E197" s="5" t="s">
        <v>150</v>
      </c>
      <c r="F197" s="5" t="s">
        <v>105</v>
      </c>
      <c r="G197" s="7" t="s">
        <v>151</v>
      </c>
      <c r="H197" s="9">
        <v>0.05</v>
      </c>
      <c r="I197" s="13" t="e">
        <f t="shared" si="8"/>
        <v>#VALUE!</v>
      </c>
      <c r="J197" s="13" t="e">
        <f t="shared" si="9"/>
        <v>#VALUE!</v>
      </c>
      <c r="K197" s="6" t="s">
        <v>113</v>
      </c>
      <c r="L197" s="5" t="s">
        <v>152</v>
      </c>
      <c r="M197" s="5" t="str">
        <f>E197&amp;" "&amp;F197&amp;" "&amp;K197&amp;" "&amp;L197</f>
        <v>Family Pack 700ML Pista 1Nos 700 ML</v>
      </c>
      <c r="N197" s="5">
        <f>COUNTIF(M:M,M197)</f>
        <v>1</v>
      </c>
    </row>
    <row r="198" spans="1:14" x14ac:dyDescent="0.35">
      <c r="A198" s="4">
        <v>8</v>
      </c>
      <c r="B198" s="5" t="s">
        <v>148</v>
      </c>
      <c r="C198" s="5" t="str">
        <f>B198&amp;A198</f>
        <v>FP8</v>
      </c>
      <c r="D198" s="4" t="s">
        <v>149</v>
      </c>
      <c r="E198" s="5" t="s">
        <v>150</v>
      </c>
      <c r="F198" s="5" t="s">
        <v>31</v>
      </c>
      <c r="G198" s="7" t="s">
        <v>151</v>
      </c>
      <c r="H198" s="9">
        <v>0.05</v>
      </c>
      <c r="I198" s="13" t="e">
        <f t="shared" si="8"/>
        <v>#VALUE!</v>
      </c>
      <c r="J198" s="13" t="e">
        <f t="shared" si="9"/>
        <v>#VALUE!</v>
      </c>
      <c r="K198" s="6" t="s">
        <v>113</v>
      </c>
      <c r="L198" s="5" t="s">
        <v>152</v>
      </c>
      <c r="M198" s="5" t="str">
        <f>E198&amp;" "&amp;F198&amp;" "&amp;K198&amp;" "&amp;L198</f>
        <v>Family Pack 700ML Blackcurrant 1Nos 700 ML</v>
      </c>
      <c r="N198" s="5">
        <f>COUNTIF(M:M,M198)</f>
        <v>1</v>
      </c>
    </row>
    <row r="199" spans="1:14" x14ac:dyDescent="0.35">
      <c r="A199" s="4">
        <v>9</v>
      </c>
      <c r="B199" s="5" t="s">
        <v>148</v>
      </c>
      <c r="C199" s="5" t="str">
        <f>B199&amp;A199</f>
        <v>FP9</v>
      </c>
      <c r="D199" s="4" t="s">
        <v>149</v>
      </c>
      <c r="E199" s="5" t="s">
        <v>150</v>
      </c>
      <c r="F199" s="5" t="s">
        <v>25</v>
      </c>
      <c r="G199" s="7" t="s">
        <v>151</v>
      </c>
      <c r="H199" s="9">
        <v>0.05</v>
      </c>
      <c r="I199" s="13" t="e">
        <f t="shared" si="8"/>
        <v>#VALUE!</v>
      </c>
      <c r="J199" s="13" t="e">
        <f t="shared" si="9"/>
        <v>#VALUE!</v>
      </c>
      <c r="K199" s="6" t="s">
        <v>113</v>
      </c>
      <c r="L199" s="5" t="s">
        <v>152</v>
      </c>
      <c r="M199" s="5" t="str">
        <f>E199&amp;" "&amp;F199&amp;" "&amp;K199&amp;" "&amp;L199</f>
        <v>Family Pack 700ML Tutti frutti 1Nos 700 ML</v>
      </c>
      <c r="N199" s="5">
        <f>COUNTIF(M:M,M199)</f>
        <v>1</v>
      </c>
    </row>
    <row r="200" spans="1:14" x14ac:dyDescent="0.35">
      <c r="A200" s="4">
        <v>10</v>
      </c>
      <c r="B200" s="5" t="s">
        <v>148</v>
      </c>
      <c r="C200" s="5" t="str">
        <f>B200&amp;A200</f>
        <v>FP10</v>
      </c>
      <c r="D200" s="4" t="s">
        <v>149</v>
      </c>
      <c r="E200" s="5" t="s">
        <v>150</v>
      </c>
      <c r="F200" s="5" t="s">
        <v>15</v>
      </c>
      <c r="G200" s="7" t="s">
        <v>151</v>
      </c>
      <c r="H200" s="9">
        <v>0.05</v>
      </c>
      <c r="I200" s="13" t="e">
        <f t="shared" si="8"/>
        <v>#VALUE!</v>
      </c>
      <c r="J200" s="13" t="e">
        <f t="shared" si="9"/>
        <v>#VALUE!</v>
      </c>
      <c r="K200" s="6" t="s">
        <v>113</v>
      </c>
      <c r="L200" s="5" t="s">
        <v>152</v>
      </c>
      <c r="M200" s="5" t="str">
        <f>E200&amp;" "&amp;F200&amp;" "&amp;K200&amp;" "&amp;L200</f>
        <v>Family Pack 700ML Desi Malai 1Nos 700 ML</v>
      </c>
      <c r="N200" s="5">
        <f>COUNTIF(M:M,M200)</f>
        <v>1</v>
      </c>
    </row>
    <row r="201" spans="1:14" x14ac:dyDescent="0.35">
      <c r="A201" s="4">
        <v>101</v>
      </c>
      <c r="B201" s="5" t="s">
        <v>153</v>
      </c>
      <c r="C201" s="5" t="str">
        <f>B201&amp;A201</f>
        <v>BFD101</v>
      </c>
      <c r="D201" s="4" t="s">
        <v>154</v>
      </c>
      <c r="E201" s="5" t="s">
        <v>155</v>
      </c>
      <c r="F201" s="5" t="s">
        <v>96</v>
      </c>
      <c r="G201" s="13">
        <v>250</v>
      </c>
      <c r="H201" s="9">
        <v>0.05</v>
      </c>
      <c r="I201" s="13">
        <f t="shared" si="8"/>
        <v>12.5</v>
      </c>
      <c r="J201" s="13">
        <f t="shared" si="9"/>
        <v>262.5</v>
      </c>
      <c r="K201" s="6" t="s">
        <v>113</v>
      </c>
      <c r="L201" s="6" t="s">
        <v>114</v>
      </c>
      <c r="M201" s="5" t="str">
        <f>E201&amp;" "&amp;F201&amp;" "&amp;K201&amp;" "&amp;L201</f>
        <v>Frozen Dessert Gallon Vanilla 1Nos 4Ltr</v>
      </c>
      <c r="N201" s="5">
        <f>COUNTIF(M:M,M201)</f>
        <v>1</v>
      </c>
    </row>
    <row r="202" spans="1:14" x14ac:dyDescent="0.35">
      <c r="A202" s="4">
        <v>102</v>
      </c>
      <c r="B202" s="5" t="s">
        <v>153</v>
      </c>
      <c r="C202" s="5" t="s">
        <v>156</v>
      </c>
      <c r="D202" s="4" t="s">
        <v>154</v>
      </c>
      <c r="E202" s="5" t="s">
        <v>155</v>
      </c>
      <c r="F202" s="5" t="s">
        <v>29</v>
      </c>
      <c r="G202" s="13">
        <v>275</v>
      </c>
      <c r="H202" s="9">
        <v>0.05</v>
      </c>
      <c r="I202" s="13">
        <f t="shared" si="8"/>
        <v>13.75</v>
      </c>
      <c r="J202" s="13">
        <f t="shared" si="9"/>
        <v>288.75</v>
      </c>
      <c r="K202" s="6" t="s">
        <v>113</v>
      </c>
      <c r="L202" s="6" t="s">
        <v>114</v>
      </c>
      <c r="M202" s="5" t="str">
        <f>E202&amp;" "&amp;F202&amp;" "&amp;K202&amp;" "&amp;L202</f>
        <v>Frozen Dessert Gallon Strawberry 1Nos 4Ltr</v>
      </c>
      <c r="N202" s="5">
        <f>COUNTIF(M:M,M202)</f>
        <v>1</v>
      </c>
    </row>
    <row r="203" spans="1:14" x14ac:dyDescent="0.35">
      <c r="A203" s="4">
        <v>103</v>
      </c>
      <c r="B203" s="5" t="s">
        <v>153</v>
      </c>
      <c r="C203" s="5" t="s">
        <v>157</v>
      </c>
      <c r="D203" s="4" t="s">
        <v>154</v>
      </c>
      <c r="E203" s="5" t="s">
        <v>155</v>
      </c>
      <c r="F203" s="5" t="s">
        <v>24</v>
      </c>
      <c r="G203" s="13">
        <v>325</v>
      </c>
      <c r="H203" s="9">
        <v>0.05</v>
      </c>
      <c r="I203" s="13">
        <f t="shared" si="8"/>
        <v>16.25</v>
      </c>
      <c r="J203" s="13">
        <f t="shared" si="9"/>
        <v>341.25</v>
      </c>
      <c r="K203" s="6" t="s">
        <v>113</v>
      </c>
      <c r="L203" s="6" t="s">
        <v>114</v>
      </c>
      <c r="M203" s="5" t="str">
        <f>E203&amp;" "&amp;F203&amp;" "&amp;K203&amp;" "&amp;L203</f>
        <v>Frozen Dessert Gallon Butterscotch 1Nos 4Ltr</v>
      </c>
      <c r="N203" s="5">
        <f>COUNTIF(M:M,M203)</f>
        <v>1</v>
      </c>
    </row>
    <row r="204" spans="1:14" x14ac:dyDescent="0.35">
      <c r="A204" s="4">
        <v>104</v>
      </c>
      <c r="B204" s="5" t="s">
        <v>153</v>
      </c>
      <c r="C204" s="5" t="s">
        <v>158</v>
      </c>
      <c r="D204" s="4" t="s">
        <v>154</v>
      </c>
      <c r="E204" s="5" t="s">
        <v>155</v>
      </c>
      <c r="F204" s="5" t="s">
        <v>22</v>
      </c>
      <c r="G204" s="13">
        <v>350</v>
      </c>
      <c r="H204" s="9">
        <v>0.05</v>
      </c>
      <c r="I204" s="13">
        <f t="shared" si="8"/>
        <v>17.5</v>
      </c>
      <c r="J204" s="13">
        <f t="shared" si="9"/>
        <v>367.5</v>
      </c>
      <c r="K204" s="6" t="s">
        <v>113</v>
      </c>
      <c r="L204" s="6" t="s">
        <v>114</v>
      </c>
      <c r="M204" s="5" t="str">
        <f>E204&amp;" "&amp;F204&amp;" "&amp;K204&amp;" "&amp;L204</f>
        <v>Frozen Dessert Gallon Chocolate 1Nos 4Ltr</v>
      </c>
      <c r="N204" s="5">
        <f>COUNTIF(M:M,M204)</f>
        <v>1</v>
      </c>
    </row>
    <row r="205" spans="1:14" x14ac:dyDescent="0.35">
      <c r="A205" s="4">
        <v>105</v>
      </c>
      <c r="B205" s="5" t="s">
        <v>153</v>
      </c>
      <c r="C205" s="5" t="s">
        <v>159</v>
      </c>
      <c r="D205" s="4" t="s">
        <v>154</v>
      </c>
      <c r="E205" s="5" t="s">
        <v>155</v>
      </c>
      <c r="F205" s="5" t="s">
        <v>57</v>
      </c>
      <c r="G205" s="13">
        <v>350</v>
      </c>
      <c r="H205" s="9">
        <v>0.05</v>
      </c>
      <c r="I205" s="13">
        <f t="shared" si="8"/>
        <v>17.5</v>
      </c>
      <c r="J205" s="13">
        <f t="shared" si="9"/>
        <v>367.5</v>
      </c>
      <c r="K205" s="6" t="s">
        <v>113</v>
      </c>
      <c r="L205" s="6" t="s">
        <v>114</v>
      </c>
      <c r="M205" s="5" t="str">
        <f>E205&amp;" "&amp;F205&amp;" "&amp;K205&amp;" "&amp;L205</f>
        <v>Frozen Dessert Gallon Mango 1Nos 4Ltr</v>
      </c>
      <c r="N205" s="5">
        <f>COUNTIF(M:M,M205)</f>
        <v>1</v>
      </c>
    </row>
    <row r="206" spans="1:14" x14ac:dyDescent="0.35">
      <c r="A206" s="4">
        <v>106</v>
      </c>
      <c r="B206" s="5" t="s">
        <v>153</v>
      </c>
      <c r="C206" s="5" t="s">
        <v>160</v>
      </c>
      <c r="D206" s="4" t="s">
        <v>154</v>
      </c>
      <c r="E206" s="5" t="s">
        <v>155</v>
      </c>
      <c r="F206" s="5" t="s">
        <v>31</v>
      </c>
      <c r="G206" s="13">
        <v>350</v>
      </c>
      <c r="H206" s="9">
        <v>0.05</v>
      </c>
      <c r="I206" s="13">
        <f t="shared" si="8"/>
        <v>17.5</v>
      </c>
      <c r="J206" s="13">
        <f t="shared" si="9"/>
        <v>367.5</v>
      </c>
      <c r="K206" s="6" t="s">
        <v>113</v>
      </c>
      <c r="L206" s="6" t="s">
        <v>114</v>
      </c>
      <c r="M206" s="5" t="str">
        <f>E206&amp;" "&amp;F206&amp;" "&amp;K206&amp;" "&amp;L206</f>
        <v>Frozen Dessert Gallon Blackcurrant 1Nos 4Ltr</v>
      </c>
      <c r="N206" s="5">
        <f>COUNTIF(M:M,M206)</f>
        <v>1</v>
      </c>
    </row>
    <row r="207" spans="1:14" x14ac:dyDescent="0.35">
      <c r="A207" s="4">
        <v>107</v>
      </c>
      <c r="B207" s="5" t="s">
        <v>153</v>
      </c>
      <c r="C207" s="5" t="s">
        <v>161</v>
      </c>
      <c r="D207" s="4" t="s">
        <v>154</v>
      </c>
      <c r="E207" s="5" t="s">
        <v>155</v>
      </c>
      <c r="F207" s="5" t="s">
        <v>25</v>
      </c>
      <c r="G207" s="13">
        <v>350</v>
      </c>
      <c r="H207" s="9">
        <v>0.05</v>
      </c>
      <c r="I207" s="13">
        <f t="shared" si="8"/>
        <v>17.5</v>
      </c>
      <c r="J207" s="13">
        <f t="shared" si="9"/>
        <v>367.5</v>
      </c>
      <c r="K207" s="6" t="s">
        <v>113</v>
      </c>
      <c r="L207" s="6" t="s">
        <v>114</v>
      </c>
      <c r="M207" s="5" t="str">
        <f>E207&amp;" "&amp;F207&amp;" "&amp;K207&amp;" "&amp;L207</f>
        <v>Frozen Dessert Gallon Tutti frutti 1Nos 4Ltr</v>
      </c>
      <c r="N207" s="5">
        <f>COUNTIF(M:M,M207)</f>
        <v>1</v>
      </c>
    </row>
    <row r="208" spans="1:14" x14ac:dyDescent="0.35">
      <c r="A208" s="4">
        <v>108</v>
      </c>
      <c r="B208" s="5" t="s">
        <v>153</v>
      </c>
      <c r="C208" s="5" t="s">
        <v>162</v>
      </c>
      <c r="D208" s="4" t="s">
        <v>154</v>
      </c>
      <c r="E208" s="5" t="s">
        <v>155</v>
      </c>
      <c r="F208" s="5" t="s">
        <v>105</v>
      </c>
      <c r="G208" s="13">
        <v>375</v>
      </c>
      <c r="H208" s="9">
        <v>0.05</v>
      </c>
      <c r="I208" s="13">
        <f t="shared" si="8"/>
        <v>18.75</v>
      </c>
      <c r="J208" s="13">
        <f t="shared" si="9"/>
        <v>393.75</v>
      </c>
      <c r="K208" s="6" t="s">
        <v>113</v>
      </c>
      <c r="L208" s="6" t="s">
        <v>114</v>
      </c>
      <c r="M208" s="5" t="str">
        <f>E208&amp;" "&amp;F208&amp;" "&amp;K208&amp;" "&amp;L208</f>
        <v>Frozen Dessert Gallon Pista 1Nos 4Ltr</v>
      </c>
      <c r="N208" s="5">
        <f>COUNTIF(M:M,M208)</f>
        <v>1</v>
      </c>
    </row>
  </sheetData>
  <autoFilter ref="A1:O208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ArunRajaRajan</dc:creator>
  <cp:lastModifiedBy>Arun RR U</cp:lastModifiedBy>
  <dcterms:created xsi:type="dcterms:W3CDTF">2015-06-05T18:17:20Z</dcterms:created>
  <dcterms:modified xsi:type="dcterms:W3CDTF">2026-09-23T07:42:05Z</dcterms:modified>
</cp:coreProperties>
</file>